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rina\Downloads\"/>
    </mc:Choice>
  </mc:AlternateContent>
  <xr:revisionPtr revIDLastSave="0" documentId="13_ncr:1_{EB951304-3808-43D9-BC5B-0E60682885C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st_Orientación" sheetId="1" r:id="rId1"/>
    <sheet name="Guía_Tutorí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5" i="1" l="1"/>
  <c r="C55" i="1"/>
  <c r="D55" i="1" s="1"/>
  <c r="E55" i="1" s="1"/>
  <c r="B55" i="1"/>
  <c r="F54" i="1"/>
  <c r="C54" i="1"/>
  <c r="B54" i="1"/>
  <c r="D54" i="1" s="1"/>
  <c r="E54" i="1" s="1"/>
  <c r="F53" i="1"/>
  <c r="C53" i="1"/>
  <c r="D53" i="1" s="1"/>
  <c r="E53" i="1" s="1"/>
  <c r="B53" i="1"/>
  <c r="F52" i="1"/>
  <c r="C52" i="1"/>
  <c r="B52" i="1"/>
  <c r="B56" i="1" s="1"/>
  <c r="F51" i="1"/>
  <c r="C51" i="1"/>
  <c r="C56" i="1" s="1"/>
  <c r="D56" i="1" s="1"/>
  <c r="B51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D52" i="1" l="1"/>
  <c r="E52" i="1" s="1"/>
  <c r="D51" i="1"/>
  <c r="B60" i="1" l="1"/>
  <c r="B59" i="1"/>
  <c r="F60" i="1"/>
  <c r="E72" i="1" s="1"/>
  <c r="F59" i="1"/>
  <c r="E51" i="1"/>
  <c r="B74" i="1" l="1"/>
  <c r="B69" i="1"/>
  <c r="E64" i="1"/>
  <c r="B67" i="1"/>
  <c r="B65" i="1"/>
  <c r="B64" i="1"/>
  <c r="B68" i="1"/>
  <c r="B66" i="1"/>
  <c r="B73" i="1"/>
  <c r="B72" i="1"/>
</calcChain>
</file>

<file path=xl/sharedStrings.xml><?xml version="1.0" encoding="utf-8"?>
<sst xmlns="http://schemas.openxmlformats.org/spreadsheetml/2006/main" count="176" uniqueCount="143">
  <si>
    <t>TEST DE ORIENTACIÓN PARA ESPECIALIDADES EN ADMINISTRACIÓN (25 REACTIVOS)</t>
  </si>
  <si>
    <t>Versión Digital Autocalculable v2.0 | Evaluación de Habilidades Percibidas y Perfil Psicométrico</t>
  </si>
  <si>
    <t>I. FICHA DE IDENTIFICACIÓN DEL ESTUDIANTE</t>
  </si>
  <si>
    <t>Nombre del Estudiante:</t>
  </si>
  <si>
    <t>Tutor Asignado:</t>
  </si>
  <si>
    <t>II. INSTRUCCIONES Y ESCALA DE VALORACIÓN</t>
  </si>
  <si>
    <t>Indica el nivel de apoyo que necesitas para realizar cada actividad considerando tus experiencias del último año.
Selecciona una opción del menú desplegable en la columna 'Respuesta (0-4 / SE)' para cada uno de los 25 reactivos.</t>
  </si>
  <si>
    <t>Valor</t>
  </si>
  <si>
    <t>Significado de la Escala Ordinal</t>
  </si>
  <si>
    <t>Descripción del Nivel de Autonomía</t>
  </si>
  <si>
    <t>0</t>
  </si>
  <si>
    <t>Dependencia Total</t>
  </si>
  <si>
    <t>Necesito que otra persona realice la actividad por mí.</t>
  </si>
  <si>
    <t>1</t>
  </si>
  <si>
    <t>Guía Paso a Paso</t>
  </si>
  <si>
    <t>Necesito orientación constante y detallada paso a paso.</t>
  </si>
  <si>
    <t>2</t>
  </si>
  <si>
    <t>Ayuda Parcial</t>
  </si>
  <si>
    <t>Necesito apoyo o revisión en algunas partes del proceso.</t>
  </si>
  <si>
    <t>3</t>
  </si>
  <si>
    <t>Autónomo</t>
  </si>
  <si>
    <t>La realizo sin ayuda de manera independiente.</t>
  </si>
  <si>
    <t>4</t>
  </si>
  <si>
    <t>Dominio Explicativo</t>
  </si>
  <si>
    <t>La realizo sin ayuda y puedo explicar el procedimiento a otros.</t>
  </si>
  <si>
    <t>SE</t>
  </si>
  <si>
    <t>Sin Experiencia Previa</t>
  </si>
  <si>
    <t>Sin experiencia suficiente para responder (No equivale a cero; dato faltante).</t>
  </si>
  <si>
    <t>III. CUESTIONARIO DE EVALUACIÓN DE HABILIDADES PERCIBIDAS</t>
  </si>
  <si>
    <t>#</t>
  </si>
  <si>
    <t>Especialidad Evaluada</t>
  </si>
  <si>
    <t>Cód.</t>
  </si>
  <si>
    <t>Conducta / Reactivo Observable</t>
  </si>
  <si>
    <t>Respuesta</t>
  </si>
  <si>
    <t>Significado / Interpretación</t>
  </si>
  <si>
    <t>Mercadotecnia</t>
  </si>
  <si>
    <t>M01</t>
  </si>
  <si>
    <t>Adapto la forma de presentar una idea según las personas que la escuchan.</t>
  </si>
  <si>
    <t>M02</t>
  </si>
  <si>
    <t>Identifico patrones en las respuestas de un grupo de clientes o usuarios.</t>
  </si>
  <si>
    <t>M04</t>
  </si>
  <si>
    <t>Identifico la necesidad real que explica la elección de compra de una persona.</t>
  </si>
  <si>
    <t>M05</t>
  </si>
  <si>
    <t>Comparo propuestas para reconocer qué las diferencia comercialmente de la competencia.</t>
  </si>
  <si>
    <t>M09</t>
  </si>
  <si>
    <t>Elijo el medio de comunicación o canal adecuado para las personas a quienes quiero llegar.</t>
  </si>
  <si>
    <t>Capital Humano</t>
  </si>
  <si>
    <t>CH01</t>
  </si>
  <si>
    <t>Escucho una dificultad de un compañero sin interrumpir a quien la explica.</t>
  </si>
  <si>
    <t>CH03</t>
  </si>
  <si>
    <t>Asigno tareas considerando las fortalezas y habilidades de cada integrante del equipo.</t>
  </si>
  <si>
    <t>CH04</t>
  </si>
  <si>
    <t>Explico a un grupo cómo su participación individual contribuye a una meta común.</t>
  </si>
  <si>
    <t>CH06</t>
  </si>
  <si>
    <t>Doy una sugerencia de mejora sobre una acción concreta con respeto y empatía.</t>
  </si>
  <si>
    <t>CH10</t>
  </si>
  <si>
    <t>Identifico, a partir de las opiniones de un grupo, qué factores dificultan su colaboración.</t>
  </si>
  <si>
    <t>Administración Financiera</t>
  </si>
  <si>
    <t>AF01</t>
  </si>
  <si>
    <t>Organizo cantidades de ingresos y gastos para conocer el saldo disponible con precisión.</t>
  </si>
  <si>
    <t>AF02</t>
  </si>
  <si>
    <t>Calculo qué proporción o porcentaje representa una cantidad respecto de un total.</t>
  </si>
  <si>
    <t>AF03</t>
  </si>
  <si>
    <t>Detecto diferencias entre dos registros de cantidades numéricas que deberían coincidir.</t>
  </si>
  <si>
    <t>AF04</t>
  </si>
  <si>
    <t>Distribuyo una cantidad de dinero disponible entre distintas necesidades mediante un presupuesto.</t>
  </si>
  <si>
    <t>AF05</t>
  </si>
  <si>
    <t>Comparo el resultado financiero esperado de dos alternativas considerando su costo y beneficio.</t>
  </si>
  <si>
    <t>Negocios Internacionales</t>
  </si>
  <si>
    <t>NI01</t>
  </si>
  <si>
    <t>Adapto mi explicación cuando una persona usa expresiones o modismos de otra cultura.</t>
  </si>
  <si>
    <t>NI04</t>
  </si>
  <si>
    <t>Identifico qué reglas o normativas comerciales deben verificarse antes de actuar en un contexto nuevo.</t>
  </si>
  <si>
    <t>NI05</t>
  </si>
  <si>
    <t>Relaciono un cambio en el entorno internacional con sus posibles efectos en una actividad local.</t>
  </si>
  <si>
    <t>NI06</t>
  </si>
  <si>
    <t>Localizo información confiable sobre los requisitos para transportar mercancías de un país a otro.</t>
  </si>
  <si>
    <t>NI08</t>
  </si>
  <si>
    <t>Calculo cómo cambia un costo cuando varía la equivalencia entre dos unidades monetarias (tipo de cambio).</t>
  </si>
  <si>
    <t>Emprendimiento</t>
  </si>
  <si>
    <t>E01</t>
  </si>
  <si>
    <t>Identifico los recursos clave e inversión inicial que necesita una idea para ponerse en práctica.</t>
  </si>
  <si>
    <t>E03</t>
  </si>
  <si>
    <t>Inicio una acción concreta para poner a prueba un proyecto o idea propia en el mercado.</t>
  </si>
  <si>
    <t>E04</t>
  </si>
  <si>
    <t>Identifico qué podría fallar o generar pérdidas antes de poner en práctica un negocio.</t>
  </si>
  <si>
    <t>E05</t>
  </si>
  <si>
    <t>Propongo una solución innovadora a partir de una dificultad que expresa un grupo de personas.</t>
  </si>
  <si>
    <t>E10</t>
  </si>
  <si>
    <t>Ajusto mi estrategia después de identificar por qué un intento previo no funcionó.</t>
  </si>
  <si>
    <t>IV. TABULACIÓN Y RESULTADOS AUTOMÁTICOS POR ESPECIALIDAD</t>
  </si>
  <si>
    <t>Especialidad</t>
  </si>
  <si>
    <t>Puntaje Obt.</t>
  </si>
  <si>
    <t>Puntaje Máx.</t>
  </si>
  <si>
    <t>% Dominio</t>
  </si>
  <si>
    <t>Nivel / Diagnóstico</t>
  </si>
  <si>
    <t>Estado de Experiencia</t>
  </si>
  <si>
    <t>PUNTAJE GLOBAL Y PROMEDIO</t>
  </si>
  <si>
    <t>Resultado General del Test</t>
  </si>
  <si>
    <t>V. ESPECIALIDADES RECOMENDADAS (AUTOCÁLCULO)</t>
  </si>
  <si>
    <t>1ª Opción de Especialidad (Mayor Afinidad):</t>
  </si>
  <si>
    <t>% Dominio:</t>
  </si>
  <si>
    <t>2ª Opción de Especialidad (Alternativa):</t>
  </si>
  <si>
    <t>VI. INTERPRETACIÓN DINÁMICA Y GUÍA DE ORIENTACIÓN VOCACIONAL (AUTOGENERADA)</t>
  </si>
  <si>
    <t>1. DIAGNÓSTICO Y PERFIL DE LA ESPECIALIDAD PRINCIPAL (1ª OPCIÓN)</t>
  </si>
  <si>
    <t>Especialidad Dominante:</t>
  </si>
  <si>
    <t>Porcentaje Afinidad:</t>
  </si>
  <si>
    <t>Perfil Conductual (DISC / Cleaver):</t>
  </si>
  <si>
    <t>Tipo Vocacional (Holland / RIASEC):</t>
  </si>
  <si>
    <t>Dominancia Cerebral (Modelo HBDI):</t>
  </si>
  <si>
    <t>Competencias Clave del Perfil:</t>
  </si>
  <si>
    <t>Diagnóstico de Consistencia y Tutoría:</t>
  </si>
  <si>
    <t>2. DIAGNÓSTICO Y PERFIL DE LA ESPECIALIDAD ALTERNATIVA (2ª OPCIÓN)</t>
  </si>
  <si>
    <t>Especialidad Alternativa:</t>
  </si>
  <si>
    <t>Sinergia y Perfil Secundario:</t>
  </si>
  <si>
    <t>Recomendación Tutorial de Cierre:</t>
  </si>
  <si>
    <t>_________________________________________
Firma del Estudiante</t>
  </si>
  <si>
    <t>_________________________________________
Firma del Tutor / Orientador Vocacional</t>
  </si>
  <si>
    <t>MATRIZ DE PERFILES PSICOMÉTRICOS Y REFERENCIA TUTORIAL</t>
  </si>
  <si>
    <t>Modelo DISC / Cleaver</t>
  </si>
  <si>
    <t>Modelo Holland (RIASEC)</t>
  </si>
  <si>
    <t>Dominancia Cerebral (HBDI)</t>
  </si>
  <si>
    <t>Competencias Clave Asociadas</t>
  </si>
  <si>
    <t>Influencia (I) + Dominancia (D) - Alta persuasión, orientación a metas y comunicación fluida.</t>
  </si>
  <si>
    <t>Emprendedor - Artístico (E-A) - Creatividad aplicada, visión comercial y gusto por la expresión.</t>
  </si>
  <si>
    <t>Amarillo (Holístico/Creativo) - Síntesis visual, intuición de mercado y conceptualización.</t>
  </si>
  <si>
    <t>Adaptación comunicativa, análisis de necesidades del usuario, segmentación y diferenciación.</t>
  </si>
  <si>
    <t>Estabilidad (S) + Influencia (I) - Paciencia, escucha activa, empatía y mediación interpersonal.</t>
  </si>
  <si>
    <t>Social - Convencional (S-C) - Orientación al servicio, desarrollo de personas y organización.</t>
  </si>
  <si>
    <t>Rojo (Interpersonal/Empático) - Inteligencia emocional, facilitación grupal y comunicación.</t>
  </si>
  <si>
    <t>Escucha activa, mediación de conflictos, Inteligencia Emocional (EQ-i 2.0) y trabajo en equipo.</t>
  </si>
  <si>
    <t>Cumplimiento (C) + Estabilidad (S) - Rigor analítico, precisión matemática y apego a normas.</t>
  </si>
  <si>
    <t>Convencional - Investigativo (C-I) - Preferencia por datos estructurados, cálculo y lógica.</t>
  </si>
  <si>
    <t>Azul (Analítico) + Verde (Estructurado) - Razonamiento cuantitativo y control de procesos.</t>
  </si>
  <si>
    <t>Presupuestación, análisis de costos, precisión numérico-contable y evaluación del riesgo.</t>
  </si>
  <si>
    <t>Influencia (I) + Dominancia (D) - Flexibilidad comunicativa, empuje y visión estratégica global.</t>
  </si>
  <si>
    <t>Emprendedor - Social - Investigativo (E-S-I) - Visión global, negociación e interés cultural.</t>
  </si>
  <si>
    <t>Amarillo (Holístico) + Rojo (Interpersonal) - Adaptabilidad a entornos diversos y síntesis.</t>
  </si>
  <si>
    <t>Inteligencia Cultural (CQ), verificación normativa internacional, conversión cambiaria y logística.</t>
  </si>
  <si>
    <t>Dominancia (D) + Influencia (I) - Alta tolerancia al riesgo, iniciativa y liderazgo motivacional.</t>
  </si>
  <si>
    <t>Emprendedor (E) - Búsqueda de oportunidades, toma de decisiones e innovación aplicada.</t>
  </si>
  <si>
    <t>Amarillo (Holístico/Creativo) + Azul (Analítico) - Visión de negocio y viabilidad financiera.</t>
  </si>
  <si>
    <t>Iniciativa aplicada, solución creativa de problemas (ICE), resiliencia y gestión de recursos.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</si>
</sst>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9"/>
      <color rgb="FF718096"/>
      <name val="Calibri"/>
    </font>
    <font>
      <b/>
      <sz val="12"/>
      <color rgb="FFFFFFFF"/>
      <name val="Calibri"/>
    </font>
    <font>
      <b/>
      <sz val="10"/>
      <color rgb="FF1A202C"/>
      <name val="Calibri"/>
    </font>
    <font>
      <sz val="10"/>
      <color rgb="FF2D3748"/>
      <name val="Calibri"/>
    </font>
    <font>
      <b/>
      <sz val="11"/>
      <color rgb="FFFFFFFF"/>
      <name val="Calibri"/>
    </font>
    <font>
      <b/>
      <sz val="11"/>
      <color rgb="FF1B365D"/>
      <name val="Calibri"/>
    </font>
    <font>
      <b/>
      <sz val="11"/>
      <color rgb="FF2C5282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C5282"/>
        <bgColor rgb="FF2C5282"/>
      </patternFill>
    </fill>
    <fill>
      <patternFill patternType="solid">
        <fgColor rgb="FFEBF8FF"/>
        <bgColor rgb="FFEBF8FF"/>
      </patternFill>
    </fill>
    <fill>
      <patternFill patternType="solid">
        <fgColor rgb="FFF7FAFC"/>
        <bgColor rgb="FFF7FAFC"/>
      </patternFill>
    </fill>
    <fill>
      <patternFill patternType="solid">
        <fgColor rgb="FFF8FAFC"/>
        <bgColor rgb="FFF8FAFC"/>
      </patternFill>
    </fill>
    <fill>
      <patternFill patternType="solid">
        <fgColor rgb="FFF0FFF4"/>
        <bgColor rgb="FFF0FFF4"/>
      </patternFill>
    </fill>
    <fill>
      <patternFill patternType="solid">
        <fgColor rgb="FFFEFCBF"/>
        <bgColor rgb="FFFEFCBF"/>
      </patternFill>
    </fill>
    <fill>
      <patternFill patternType="solid">
        <fgColor rgb="FF4A5568"/>
        <bgColor rgb="FF4A5568"/>
      </patternFill>
    </fill>
  </fills>
  <borders count="6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/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CBD5E0"/>
      </left>
      <right style="thin">
        <color rgb="FFCBD5E0"/>
      </right>
      <top style="medium">
        <color rgb="FF1B365D"/>
      </top>
      <bottom style="medium">
        <color rgb="FF1B365D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double">
        <color rgb="FF1B365D"/>
      </bottom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4" fillId="0" borderId="0" xfId="0" applyFont="1"/>
    <xf numFmtId="0" fontId="0" fillId="4" borderId="1" xfId="0" applyFill="1" applyBorder="1"/>
    <xf numFmtId="0" fontId="4" fillId="5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6" fillId="2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7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0" fontId="0" fillId="6" borderId="1" xfId="0" applyFill="1" applyBorder="1" applyAlignment="1">
      <alignment horizontal="left" wrapText="1"/>
    </xf>
    <xf numFmtId="0" fontId="5" fillId="6" borderId="1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center" vertical="center"/>
    </xf>
    <xf numFmtId="0" fontId="4" fillId="0" borderId="1" xfId="0" applyFont="1" applyBorder="1"/>
    <xf numFmtId="164" fontId="7" fillId="7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4" xfId="0" applyBorder="1" applyAlignment="1">
      <alignment horizontal="center"/>
    </xf>
    <xf numFmtId="164" fontId="7" fillId="8" borderId="4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right"/>
    </xf>
    <xf numFmtId="164" fontId="7" fillId="8" borderId="1" xfId="0" applyNumberFormat="1" applyFont="1" applyFill="1" applyBorder="1" applyAlignment="1">
      <alignment horizontal="center"/>
    </xf>
    <xf numFmtId="164" fontId="7" fillId="5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5" borderId="0" xfId="0" applyFont="1" applyFill="1" applyAlignment="1">
      <alignment horizontal="center"/>
    </xf>
    <xf numFmtId="0" fontId="0" fillId="0" borderId="0" xfId="0"/>
    <xf numFmtId="0" fontId="5" fillId="0" borderId="1" xfId="0" applyFont="1" applyBorder="1"/>
    <xf numFmtId="0" fontId="0" fillId="0" borderId="2" xfId="0" applyBorder="1"/>
    <xf numFmtId="0" fontId="8" fillId="5" borderId="1" xfId="0" applyFont="1" applyFill="1" applyBorder="1" applyAlignment="1">
      <alignment horizontal="center"/>
    </xf>
    <xf numFmtId="0" fontId="0" fillId="0" borderId="5" xfId="0" applyBorder="1"/>
    <xf numFmtId="0" fontId="0" fillId="4" borderId="1" xfId="0" applyFill="1" applyBorder="1"/>
    <xf numFmtId="0" fontId="5" fillId="0" borderId="0" xfId="0" applyFont="1" applyAlignment="1">
      <alignment horizontal="left" vertical="center" wrapText="1"/>
    </xf>
    <xf numFmtId="0" fontId="7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 wrapText="1"/>
    </xf>
    <xf numFmtId="0" fontId="3" fillId="3" borderId="0" xfId="0" applyFont="1" applyFill="1" applyAlignment="1">
      <alignment horizontal="left" vertical="center" indent="1"/>
    </xf>
    <xf numFmtId="164" fontId="7" fillId="8" borderId="1" xfId="0" applyNumberFormat="1" applyFont="1" applyFill="1" applyBorder="1" applyAlignment="1">
      <alignment horizontal="center"/>
    </xf>
    <xf numFmtId="0" fontId="6" fillId="9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8" borderId="1" xfId="0" applyFont="1" applyFill="1" applyBorder="1" applyAlignment="1">
      <alignment horizontal="center"/>
    </xf>
    <xf numFmtId="164" fontId="7" fillId="5" borderId="1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Afinidad Vocacional por Especialidad (% Dominio)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radarChart>
        <c:radarStyle val="marker"/>
        <c:varyColors val="1"/>
        <c:ser>
          <c:idx val="0"/>
          <c:order val="0"/>
          <c:tx>
            <c:strRef>
              <c:f>Test_Orientación!$D$50</c:f>
              <c:strCache>
                <c:ptCount val="1"/>
                <c:pt idx="0">
                  <c:v>% Dominio</c:v>
                </c:pt>
              </c:strCache>
            </c:strRef>
          </c:tx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3"/>
            <c:marker>
              <c:symbol val="none"/>
            </c:marker>
            <c:bubble3D val="0"/>
            <c:spPr>
              <a:ln w="34925" cap="rnd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4"/>
            <c:marker>
              <c:symbol val="none"/>
            </c:marker>
            <c:bubble3D val="0"/>
            <c:spPr>
              <a:ln w="34925" cap="rnd">
                <a:solidFill>
                  <a:schemeClr val="accent5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cat>
            <c:strRef>
              <c:f>Test_Orientación!$A$51:$A$55</c:f>
              <c:strCache>
                <c:ptCount val="5"/>
                <c:pt idx="0">
                  <c:v>Mercadotecnia</c:v>
                </c:pt>
                <c:pt idx="1">
                  <c:v>Capital Humano</c:v>
                </c:pt>
                <c:pt idx="2">
                  <c:v>Administración Financiera</c:v>
                </c:pt>
                <c:pt idx="3">
                  <c:v>Negocios Internacionales</c:v>
                </c:pt>
                <c:pt idx="4">
                  <c:v>Emprendimiento</c:v>
                </c:pt>
              </c:strCache>
            </c:strRef>
          </c:cat>
          <c:val>
            <c:numRef>
              <c:f>Test_Orientación!$D$51:$D$55</c:f>
              <c:numCache>
                <c:formatCode>0.0%</c:formatCode>
                <c:ptCount val="5"/>
                <c:pt idx="0">
                  <c:v>0.9</c:v>
                </c:pt>
                <c:pt idx="1">
                  <c:v>0.65</c:v>
                </c:pt>
                <c:pt idx="2">
                  <c:v>0.5</c:v>
                </c:pt>
                <c:pt idx="3">
                  <c:v>0.75</c:v>
                </c:pt>
                <c:pt idx="4">
                  <c:v>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F6-4E4A-A769-C63A67088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Especialidad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% Dominio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45</xdr:row>
      <xdr:rowOff>54428</xdr:rowOff>
    </xdr:from>
    <xdr:ext cx="6120000" cy="485807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"/>
  <sheetViews>
    <sheetView tabSelected="1" topLeftCell="A32" zoomScale="70" zoomScaleNormal="70" workbookViewId="0">
      <selection activeCell="S61" sqref="S61"/>
    </sheetView>
  </sheetViews>
  <sheetFormatPr baseColWidth="10" defaultColWidth="9.140625" defaultRowHeight="15" x14ac:dyDescent="0.25"/>
  <cols>
    <col min="1" max="1" width="8" customWidth="1"/>
    <col min="2" max="2" width="24" customWidth="1"/>
    <col min="3" max="3" width="10" customWidth="1"/>
    <col min="4" max="4" width="52" customWidth="1"/>
    <col min="5" max="5" width="14" customWidth="1"/>
    <col min="6" max="6" width="32" customWidth="1"/>
  </cols>
  <sheetData>
    <row r="1" spans="1:6" x14ac:dyDescent="0.25">
      <c r="A1" s="42" t="s">
        <v>0</v>
      </c>
      <c r="B1" s="30"/>
      <c r="C1" s="30"/>
      <c r="D1" s="30"/>
      <c r="E1" s="30"/>
      <c r="F1" s="30"/>
    </row>
    <row r="2" spans="1:6" x14ac:dyDescent="0.25">
      <c r="A2" s="30"/>
      <c r="B2" s="30"/>
      <c r="C2" s="30"/>
      <c r="D2" s="30"/>
      <c r="E2" s="30"/>
      <c r="F2" s="30"/>
    </row>
    <row r="3" spans="1:6" x14ac:dyDescent="0.25">
      <c r="A3" s="1" t="s">
        <v>1</v>
      </c>
    </row>
    <row r="5" spans="1:6" ht="15.75" x14ac:dyDescent="0.25">
      <c r="A5" s="39" t="s">
        <v>2</v>
      </c>
      <c r="B5" s="30"/>
      <c r="C5" s="30"/>
      <c r="D5" s="30"/>
      <c r="E5" s="30"/>
      <c r="F5" s="30"/>
    </row>
    <row r="6" spans="1:6" x14ac:dyDescent="0.25">
      <c r="A6" s="2" t="s">
        <v>3</v>
      </c>
      <c r="B6" s="35"/>
      <c r="C6" s="32"/>
      <c r="E6" s="3"/>
    </row>
    <row r="7" spans="1:6" x14ac:dyDescent="0.25">
      <c r="A7" s="2" t="s">
        <v>4</v>
      </c>
      <c r="B7" s="35"/>
      <c r="C7" s="32"/>
      <c r="E7" s="3"/>
    </row>
    <row r="9" spans="1:6" ht="15.75" x14ac:dyDescent="0.25">
      <c r="A9" s="39" t="s">
        <v>5</v>
      </c>
      <c r="B9" s="30"/>
      <c r="C9" s="30"/>
      <c r="D9" s="30"/>
      <c r="E9" s="30"/>
      <c r="F9" s="30"/>
    </row>
    <row r="10" spans="1:6" x14ac:dyDescent="0.25">
      <c r="A10" s="36" t="s">
        <v>6</v>
      </c>
      <c r="B10" s="30"/>
      <c r="C10" s="30"/>
      <c r="D10" s="30"/>
      <c r="E10" s="30"/>
      <c r="F10" s="30"/>
    </row>
    <row r="11" spans="1:6" x14ac:dyDescent="0.25">
      <c r="A11" s="30"/>
      <c r="B11" s="30"/>
      <c r="C11" s="30"/>
      <c r="D11" s="30"/>
      <c r="E11" s="30"/>
      <c r="F11" s="30"/>
    </row>
    <row r="13" spans="1:6" x14ac:dyDescent="0.25">
      <c r="A13" s="4" t="s">
        <v>7</v>
      </c>
      <c r="B13" s="29" t="s">
        <v>8</v>
      </c>
      <c r="C13" s="30"/>
      <c r="D13" s="29" t="s">
        <v>9</v>
      </c>
      <c r="E13" s="30"/>
      <c r="F13" s="30"/>
    </row>
    <row r="14" spans="1:6" x14ac:dyDescent="0.25">
      <c r="A14" s="5" t="s">
        <v>10</v>
      </c>
      <c r="B14" s="31" t="s">
        <v>11</v>
      </c>
      <c r="C14" s="32"/>
      <c r="D14" s="31" t="s">
        <v>12</v>
      </c>
      <c r="E14" s="34"/>
      <c r="F14" s="32"/>
    </row>
    <row r="15" spans="1:6" x14ac:dyDescent="0.25">
      <c r="A15" s="5" t="s">
        <v>13</v>
      </c>
      <c r="B15" s="31" t="s">
        <v>14</v>
      </c>
      <c r="C15" s="32"/>
      <c r="D15" s="31" t="s">
        <v>15</v>
      </c>
      <c r="E15" s="34"/>
      <c r="F15" s="32"/>
    </row>
    <row r="16" spans="1:6" x14ac:dyDescent="0.25">
      <c r="A16" s="5" t="s">
        <v>16</v>
      </c>
      <c r="B16" s="31" t="s">
        <v>17</v>
      </c>
      <c r="C16" s="32"/>
      <c r="D16" s="31" t="s">
        <v>18</v>
      </c>
      <c r="E16" s="34"/>
      <c r="F16" s="32"/>
    </row>
    <row r="17" spans="1:6" x14ac:dyDescent="0.25">
      <c r="A17" s="5" t="s">
        <v>19</v>
      </c>
      <c r="B17" s="31" t="s">
        <v>20</v>
      </c>
      <c r="C17" s="32"/>
      <c r="D17" s="31" t="s">
        <v>21</v>
      </c>
      <c r="E17" s="34"/>
      <c r="F17" s="32"/>
    </row>
    <row r="18" spans="1:6" x14ac:dyDescent="0.25">
      <c r="A18" s="5" t="s">
        <v>22</v>
      </c>
      <c r="B18" s="31" t="s">
        <v>23</v>
      </c>
      <c r="C18" s="32"/>
      <c r="D18" s="31" t="s">
        <v>24</v>
      </c>
      <c r="E18" s="34"/>
      <c r="F18" s="32"/>
    </row>
    <row r="19" spans="1:6" x14ac:dyDescent="0.25">
      <c r="A19" s="5" t="s">
        <v>25</v>
      </c>
      <c r="B19" s="31" t="s">
        <v>26</v>
      </c>
      <c r="C19" s="32"/>
      <c r="D19" s="31" t="s">
        <v>27</v>
      </c>
      <c r="E19" s="34"/>
      <c r="F19" s="32"/>
    </row>
    <row r="21" spans="1:6" ht="15.75" x14ac:dyDescent="0.25">
      <c r="A21" s="39" t="s">
        <v>28</v>
      </c>
      <c r="B21" s="30"/>
      <c r="C21" s="30"/>
      <c r="D21" s="30"/>
      <c r="E21" s="30"/>
      <c r="F21" s="30"/>
    </row>
    <row r="22" spans="1:6" x14ac:dyDescent="0.25">
      <c r="A22" s="6" t="s">
        <v>29</v>
      </c>
      <c r="B22" s="6" t="s">
        <v>30</v>
      </c>
      <c r="C22" s="6" t="s">
        <v>31</v>
      </c>
      <c r="D22" s="6" t="s">
        <v>32</v>
      </c>
      <c r="E22" s="6" t="s">
        <v>33</v>
      </c>
      <c r="F22" s="6" t="s">
        <v>34</v>
      </c>
    </row>
    <row r="23" spans="1:6" ht="30" x14ac:dyDescent="0.25">
      <c r="A23" s="7">
        <v>1</v>
      </c>
      <c r="B23" s="8" t="s">
        <v>35</v>
      </c>
      <c r="C23" s="7" t="s">
        <v>36</v>
      </c>
      <c r="D23" s="9" t="s">
        <v>37</v>
      </c>
      <c r="E23" s="10">
        <v>4</v>
      </c>
      <c r="F23" s="11" t="str">
        <f t="shared" ref="F23:F47" si="0">IF(E23="SE", "Sin experiencia previa", IF(E23=0, "0 - Dependencia total", IF(E23=1, "1 - Guía paso a paso", IF(E23=2, "2 - Ayuda parcial", IF(E23=3, "3 - Autónomo", IF(E23=4, "4 - Dominio explicativo", ""))))))</f>
        <v>4 - Dominio explicativo</v>
      </c>
    </row>
    <row r="24" spans="1:6" ht="30" x14ac:dyDescent="0.25">
      <c r="A24" s="12">
        <v>2</v>
      </c>
      <c r="B24" s="13" t="s">
        <v>35</v>
      </c>
      <c r="C24" s="12" t="s">
        <v>38</v>
      </c>
      <c r="D24" s="14" t="s">
        <v>39</v>
      </c>
      <c r="E24" s="10">
        <v>3</v>
      </c>
      <c r="F24" s="15" t="str">
        <f t="shared" si="0"/>
        <v>3 - Autónomo</v>
      </c>
    </row>
    <row r="25" spans="1:6" ht="30" x14ac:dyDescent="0.25">
      <c r="A25" s="7">
        <v>3</v>
      </c>
      <c r="B25" s="8" t="s">
        <v>35</v>
      </c>
      <c r="C25" s="7" t="s">
        <v>40</v>
      </c>
      <c r="D25" s="9" t="s">
        <v>41</v>
      </c>
      <c r="E25" s="10">
        <v>4</v>
      </c>
      <c r="F25" s="11" t="str">
        <f t="shared" si="0"/>
        <v>4 - Dominio explicativo</v>
      </c>
    </row>
    <row r="26" spans="1:6" ht="30" x14ac:dyDescent="0.25">
      <c r="A26" s="12">
        <v>4</v>
      </c>
      <c r="B26" s="13" t="s">
        <v>35</v>
      </c>
      <c r="C26" s="12" t="s">
        <v>42</v>
      </c>
      <c r="D26" s="14" t="s">
        <v>43</v>
      </c>
      <c r="E26" s="10">
        <v>3</v>
      </c>
      <c r="F26" s="15" t="str">
        <f t="shared" si="0"/>
        <v>3 - Autónomo</v>
      </c>
    </row>
    <row r="27" spans="1:6" ht="30" x14ac:dyDescent="0.25">
      <c r="A27" s="7">
        <v>5</v>
      </c>
      <c r="B27" s="8" t="s">
        <v>35</v>
      </c>
      <c r="C27" s="7" t="s">
        <v>44</v>
      </c>
      <c r="D27" s="9" t="s">
        <v>45</v>
      </c>
      <c r="E27" s="10">
        <v>4</v>
      </c>
      <c r="F27" s="11" t="str">
        <f t="shared" si="0"/>
        <v>4 - Dominio explicativo</v>
      </c>
    </row>
    <row r="28" spans="1:6" ht="30" x14ac:dyDescent="0.25">
      <c r="A28" s="12">
        <v>6</v>
      </c>
      <c r="B28" s="13" t="s">
        <v>46</v>
      </c>
      <c r="C28" s="12" t="s">
        <v>47</v>
      </c>
      <c r="D28" s="14" t="s">
        <v>48</v>
      </c>
      <c r="E28" s="10">
        <v>3</v>
      </c>
      <c r="F28" s="15" t="str">
        <f t="shared" si="0"/>
        <v>3 - Autónomo</v>
      </c>
    </row>
    <row r="29" spans="1:6" ht="30" x14ac:dyDescent="0.25">
      <c r="A29" s="7">
        <v>7</v>
      </c>
      <c r="B29" s="8" t="s">
        <v>46</v>
      </c>
      <c r="C29" s="7" t="s">
        <v>49</v>
      </c>
      <c r="D29" s="9" t="s">
        <v>50</v>
      </c>
      <c r="E29" s="10">
        <v>3</v>
      </c>
      <c r="F29" s="11" t="str">
        <f t="shared" si="0"/>
        <v>3 - Autónomo</v>
      </c>
    </row>
    <row r="30" spans="1:6" ht="30" x14ac:dyDescent="0.25">
      <c r="A30" s="12">
        <v>8</v>
      </c>
      <c r="B30" s="13" t="s">
        <v>46</v>
      </c>
      <c r="C30" s="12" t="s">
        <v>51</v>
      </c>
      <c r="D30" s="14" t="s">
        <v>52</v>
      </c>
      <c r="E30" s="10">
        <v>2</v>
      </c>
      <c r="F30" s="15" t="str">
        <f t="shared" si="0"/>
        <v>2 - Ayuda parcial</v>
      </c>
    </row>
    <row r="31" spans="1:6" ht="30" x14ac:dyDescent="0.25">
      <c r="A31" s="7">
        <v>9</v>
      </c>
      <c r="B31" s="8" t="s">
        <v>46</v>
      </c>
      <c r="C31" s="7" t="s">
        <v>53</v>
      </c>
      <c r="D31" s="9" t="s">
        <v>54</v>
      </c>
      <c r="E31" s="10">
        <v>3</v>
      </c>
      <c r="F31" s="11" t="str">
        <f t="shared" si="0"/>
        <v>3 - Autónomo</v>
      </c>
    </row>
    <row r="32" spans="1:6" ht="30" x14ac:dyDescent="0.25">
      <c r="A32" s="12">
        <v>10</v>
      </c>
      <c r="B32" s="13" t="s">
        <v>46</v>
      </c>
      <c r="C32" s="12" t="s">
        <v>55</v>
      </c>
      <c r="D32" s="14" t="s">
        <v>56</v>
      </c>
      <c r="E32" s="10">
        <v>2</v>
      </c>
      <c r="F32" s="15" t="str">
        <f t="shared" si="0"/>
        <v>2 - Ayuda parcial</v>
      </c>
    </row>
    <row r="33" spans="1:6" ht="30" x14ac:dyDescent="0.25">
      <c r="A33" s="7">
        <v>11</v>
      </c>
      <c r="B33" s="8" t="s">
        <v>57</v>
      </c>
      <c r="C33" s="7" t="s">
        <v>58</v>
      </c>
      <c r="D33" s="9" t="s">
        <v>59</v>
      </c>
      <c r="E33" s="10">
        <v>2</v>
      </c>
      <c r="F33" s="11" t="str">
        <f t="shared" si="0"/>
        <v>2 - Ayuda parcial</v>
      </c>
    </row>
    <row r="34" spans="1:6" ht="30" x14ac:dyDescent="0.25">
      <c r="A34" s="12">
        <v>12</v>
      </c>
      <c r="B34" s="13" t="s">
        <v>57</v>
      </c>
      <c r="C34" s="12" t="s">
        <v>60</v>
      </c>
      <c r="D34" s="14" t="s">
        <v>61</v>
      </c>
      <c r="E34" s="10">
        <v>1</v>
      </c>
      <c r="F34" s="15" t="str">
        <f t="shared" si="0"/>
        <v>1 - Guía paso a paso</v>
      </c>
    </row>
    <row r="35" spans="1:6" ht="30" x14ac:dyDescent="0.25">
      <c r="A35" s="7">
        <v>13</v>
      </c>
      <c r="B35" s="8" t="s">
        <v>57</v>
      </c>
      <c r="C35" s="7" t="s">
        <v>62</v>
      </c>
      <c r="D35" s="9" t="s">
        <v>63</v>
      </c>
      <c r="E35" s="10">
        <v>3</v>
      </c>
      <c r="F35" s="11" t="str">
        <f t="shared" si="0"/>
        <v>3 - Autónomo</v>
      </c>
    </row>
    <row r="36" spans="1:6" ht="30" x14ac:dyDescent="0.25">
      <c r="A36" s="12">
        <v>14</v>
      </c>
      <c r="B36" s="13" t="s">
        <v>57</v>
      </c>
      <c r="C36" s="12" t="s">
        <v>64</v>
      </c>
      <c r="D36" s="14" t="s">
        <v>65</v>
      </c>
      <c r="E36" s="10">
        <v>2</v>
      </c>
      <c r="F36" s="15" t="str">
        <f t="shared" si="0"/>
        <v>2 - Ayuda parcial</v>
      </c>
    </row>
    <row r="37" spans="1:6" ht="30" x14ac:dyDescent="0.25">
      <c r="A37" s="7">
        <v>15</v>
      </c>
      <c r="B37" s="8" t="s">
        <v>57</v>
      </c>
      <c r="C37" s="7" t="s">
        <v>66</v>
      </c>
      <c r="D37" s="9" t="s">
        <v>67</v>
      </c>
      <c r="E37" s="10">
        <v>2</v>
      </c>
      <c r="F37" s="11" t="str">
        <f t="shared" si="0"/>
        <v>2 - Ayuda parcial</v>
      </c>
    </row>
    <row r="38" spans="1:6" ht="30" x14ac:dyDescent="0.25">
      <c r="A38" s="12">
        <v>16</v>
      </c>
      <c r="B38" s="13" t="s">
        <v>68</v>
      </c>
      <c r="C38" s="12" t="s">
        <v>69</v>
      </c>
      <c r="D38" s="14" t="s">
        <v>70</v>
      </c>
      <c r="E38" s="10">
        <v>3</v>
      </c>
      <c r="F38" s="15" t="str">
        <f t="shared" si="0"/>
        <v>3 - Autónomo</v>
      </c>
    </row>
    <row r="39" spans="1:6" ht="30" x14ac:dyDescent="0.25">
      <c r="A39" s="7">
        <v>17</v>
      </c>
      <c r="B39" s="8" t="s">
        <v>68</v>
      </c>
      <c r="C39" s="7" t="s">
        <v>71</v>
      </c>
      <c r="D39" s="9" t="s">
        <v>72</v>
      </c>
      <c r="E39" s="10">
        <v>3</v>
      </c>
      <c r="F39" s="11" t="str">
        <f t="shared" si="0"/>
        <v>3 - Autónomo</v>
      </c>
    </row>
    <row r="40" spans="1:6" ht="30" x14ac:dyDescent="0.25">
      <c r="A40" s="12">
        <v>18</v>
      </c>
      <c r="B40" s="13" t="s">
        <v>68</v>
      </c>
      <c r="C40" s="12" t="s">
        <v>73</v>
      </c>
      <c r="D40" s="14" t="s">
        <v>74</v>
      </c>
      <c r="E40" s="10">
        <v>3</v>
      </c>
      <c r="F40" s="15" t="str">
        <f t="shared" si="0"/>
        <v>3 - Autónomo</v>
      </c>
    </row>
    <row r="41" spans="1:6" ht="30" x14ac:dyDescent="0.25">
      <c r="A41" s="7">
        <v>19</v>
      </c>
      <c r="B41" s="8" t="s">
        <v>68</v>
      </c>
      <c r="C41" s="7" t="s">
        <v>75</v>
      </c>
      <c r="D41" s="9" t="s">
        <v>76</v>
      </c>
      <c r="E41" s="10">
        <v>3</v>
      </c>
      <c r="F41" s="11" t="str">
        <f t="shared" si="0"/>
        <v>3 - Autónomo</v>
      </c>
    </row>
    <row r="42" spans="1:6" ht="45" x14ac:dyDescent="0.25">
      <c r="A42" s="12">
        <v>20</v>
      </c>
      <c r="B42" s="13" t="s">
        <v>68</v>
      </c>
      <c r="C42" s="12" t="s">
        <v>77</v>
      </c>
      <c r="D42" s="14" t="s">
        <v>78</v>
      </c>
      <c r="E42" s="10">
        <v>3</v>
      </c>
      <c r="F42" s="15" t="str">
        <f t="shared" si="0"/>
        <v>3 - Autónomo</v>
      </c>
    </row>
    <row r="43" spans="1:6" ht="30" x14ac:dyDescent="0.25">
      <c r="A43" s="7">
        <v>21</v>
      </c>
      <c r="B43" s="8" t="s">
        <v>79</v>
      </c>
      <c r="C43" s="7" t="s">
        <v>80</v>
      </c>
      <c r="D43" s="9" t="s">
        <v>81</v>
      </c>
      <c r="E43" s="10">
        <v>4</v>
      </c>
      <c r="F43" s="11" t="str">
        <f t="shared" si="0"/>
        <v>4 - Dominio explicativo</v>
      </c>
    </row>
    <row r="44" spans="1:6" ht="30" x14ac:dyDescent="0.25">
      <c r="A44" s="12">
        <v>22</v>
      </c>
      <c r="B44" s="13" t="s">
        <v>79</v>
      </c>
      <c r="C44" s="12" t="s">
        <v>82</v>
      </c>
      <c r="D44" s="14" t="s">
        <v>83</v>
      </c>
      <c r="E44" s="10">
        <v>4</v>
      </c>
      <c r="F44" s="15" t="str">
        <f t="shared" si="0"/>
        <v>4 - Dominio explicativo</v>
      </c>
    </row>
    <row r="45" spans="1:6" ht="30" x14ac:dyDescent="0.25">
      <c r="A45" s="7">
        <v>23</v>
      </c>
      <c r="B45" s="8" t="s">
        <v>79</v>
      </c>
      <c r="C45" s="7" t="s">
        <v>84</v>
      </c>
      <c r="D45" s="9" t="s">
        <v>85</v>
      </c>
      <c r="E45" s="10">
        <v>3</v>
      </c>
      <c r="F45" s="11" t="str">
        <f t="shared" si="0"/>
        <v>3 - Autónomo</v>
      </c>
    </row>
    <row r="46" spans="1:6" ht="30" x14ac:dyDescent="0.25">
      <c r="A46" s="12">
        <v>24</v>
      </c>
      <c r="B46" s="13" t="s">
        <v>79</v>
      </c>
      <c r="C46" s="12" t="s">
        <v>86</v>
      </c>
      <c r="D46" s="14" t="s">
        <v>87</v>
      </c>
      <c r="E46" s="10">
        <v>3</v>
      </c>
      <c r="F46" s="15" t="str">
        <f t="shared" si="0"/>
        <v>3 - Autónomo</v>
      </c>
    </row>
    <row r="47" spans="1:6" ht="30" x14ac:dyDescent="0.25">
      <c r="A47" s="7">
        <v>25</v>
      </c>
      <c r="B47" s="8" t="s">
        <v>79</v>
      </c>
      <c r="C47" s="7" t="s">
        <v>88</v>
      </c>
      <c r="D47" s="9" t="s">
        <v>89</v>
      </c>
      <c r="E47" s="10">
        <v>3</v>
      </c>
      <c r="F47" s="11" t="str">
        <f t="shared" si="0"/>
        <v>3 - Autónomo</v>
      </c>
    </row>
    <row r="49" spans="1:6" ht="15.75" x14ac:dyDescent="0.25">
      <c r="A49" s="39" t="s">
        <v>90</v>
      </c>
      <c r="B49" s="30"/>
      <c r="C49" s="30"/>
      <c r="D49" s="30"/>
      <c r="E49" s="30"/>
      <c r="F49" s="30"/>
    </row>
    <row r="50" spans="1:6" x14ac:dyDescent="0.25">
      <c r="A50" s="16" t="s">
        <v>91</v>
      </c>
      <c r="B50" s="16" t="s">
        <v>92</v>
      </c>
      <c r="C50" s="16" t="s">
        <v>93</v>
      </c>
      <c r="D50" s="16" t="s">
        <v>94</v>
      </c>
      <c r="E50" s="16" t="s">
        <v>95</v>
      </c>
      <c r="F50" s="16" t="s">
        <v>96</v>
      </c>
    </row>
    <row r="51" spans="1:6" x14ac:dyDescent="0.25">
      <c r="A51" s="17" t="s">
        <v>35</v>
      </c>
      <c r="B51" s="7">
        <f>SUMIF(E23:E27, "&lt;&gt;SE")</f>
        <v>18</v>
      </c>
      <c r="C51" s="7">
        <f>COUNT(E23:E27)*4</f>
        <v>20</v>
      </c>
      <c r="D51" s="18">
        <f t="shared" ref="D51:D56" si="1">IF(C51&gt;0, B51/C51, 0)</f>
        <v>0.9</v>
      </c>
      <c r="E51" s="19" t="str">
        <f>IF(D51&gt;=0.8, "ALTO (Perfil Fuerte)", IF(D51&gt;=0.5, "MEDIO (En Desarrollo)", "BAJO (Baja Afinidad)"))</f>
        <v>ALTO (Perfil Fuerte)</v>
      </c>
      <c r="F51" s="20" t="str">
        <f>IF(COUNTIF(E23:E27, "SE")&gt;=2, "⚠️ Requiere Exploración (2+ SE)", "Completo")</f>
        <v>Completo</v>
      </c>
    </row>
    <row r="52" spans="1:6" x14ac:dyDescent="0.25">
      <c r="A52" s="17" t="s">
        <v>46</v>
      </c>
      <c r="B52" s="7">
        <f>SUMIF(E28:E32, "&lt;&gt;SE")</f>
        <v>13</v>
      </c>
      <c r="C52" s="7">
        <f>COUNT(E28:E32)*4</f>
        <v>20</v>
      </c>
      <c r="D52" s="18">
        <f t="shared" si="1"/>
        <v>0.65</v>
      </c>
      <c r="E52" s="19" t="str">
        <f>IF(D52&gt;=0.8, "ALTO (Perfil Fuerte)", IF(D52&gt;=0.5, "MEDIO (En Desarrollo)", "BAJO (Baja Afinidad)"))</f>
        <v>MEDIO (En Desarrollo)</v>
      </c>
      <c r="F52" s="20" t="str">
        <f>IF(COUNTIF(E28:E32, "SE")&gt;=2, "⚠️ Requiere Exploración (2+ SE)", "Completo")</f>
        <v>Completo</v>
      </c>
    </row>
    <row r="53" spans="1:6" x14ac:dyDescent="0.25">
      <c r="A53" s="17" t="s">
        <v>57</v>
      </c>
      <c r="B53" s="7">
        <f>SUMIF(E33:E37, "&lt;&gt;SE")</f>
        <v>10</v>
      </c>
      <c r="C53" s="7">
        <f>COUNT(E33:E37)*4</f>
        <v>20</v>
      </c>
      <c r="D53" s="18">
        <f t="shared" si="1"/>
        <v>0.5</v>
      </c>
      <c r="E53" s="19" t="str">
        <f>IF(D53&gt;=0.8, "ALTO (Perfil Fuerte)", IF(D53&gt;=0.5, "MEDIO (En Desarrollo)", "BAJO (Baja Afinidad)"))</f>
        <v>MEDIO (En Desarrollo)</v>
      </c>
      <c r="F53" s="20" t="str">
        <f>IF(COUNTIF(E33:E37, "SE")&gt;=2, "⚠️ Requiere Exploración (2+ SE)", "Completo")</f>
        <v>Completo</v>
      </c>
    </row>
    <row r="54" spans="1:6" x14ac:dyDescent="0.25">
      <c r="A54" s="17" t="s">
        <v>68</v>
      </c>
      <c r="B54" s="7">
        <f>SUMIF(E38:E42, "&lt;&gt;SE")</f>
        <v>15</v>
      </c>
      <c r="C54" s="7">
        <f>COUNT(E38:E42)*4</f>
        <v>20</v>
      </c>
      <c r="D54" s="18">
        <f t="shared" si="1"/>
        <v>0.75</v>
      </c>
      <c r="E54" s="19" t="str">
        <f>IF(D54&gt;=0.8, "ALTO (Perfil Fuerte)", IF(D54&gt;=0.5, "MEDIO (En Desarrollo)", "BAJO (Baja Afinidad)"))</f>
        <v>MEDIO (En Desarrollo)</v>
      </c>
      <c r="F54" s="20" t="str">
        <f>IF(COUNTIF(E38:E42, "SE")&gt;=2, "⚠️ Requiere Exploración (2+ SE)", "Completo")</f>
        <v>Completo</v>
      </c>
    </row>
    <row r="55" spans="1:6" x14ac:dyDescent="0.25">
      <c r="A55" s="17" t="s">
        <v>79</v>
      </c>
      <c r="B55" s="7">
        <f>SUMIF(E43:E47, "&lt;&gt;SE")</f>
        <v>17</v>
      </c>
      <c r="C55" s="7">
        <f>COUNT(E43:E47)*4</f>
        <v>20</v>
      </c>
      <c r="D55" s="18">
        <f t="shared" si="1"/>
        <v>0.85</v>
      </c>
      <c r="E55" s="19" t="str">
        <f>IF(D55&gt;=0.8, "ALTO (Perfil Fuerte)", IF(D55&gt;=0.5, "MEDIO (En Desarrollo)", "BAJO (Baja Afinidad)"))</f>
        <v>ALTO (Perfil Fuerte)</v>
      </c>
      <c r="F55" s="20" t="str">
        <f>IF(COUNTIF(E43:E47, "SE")&gt;=2, "⚠️ Requiere Exploración (2+ SE)", "Completo")</f>
        <v>Completo</v>
      </c>
    </row>
    <row r="56" spans="1:6" x14ac:dyDescent="0.25">
      <c r="A56" s="21" t="s">
        <v>97</v>
      </c>
      <c r="B56" s="22">
        <f>SUM(B51:B55)</f>
        <v>73</v>
      </c>
      <c r="C56" s="22">
        <f>SUM(C51:C55)</f>
        <v>100</v>
      </c>
      <c r="D56" s="23">
        <f t="shared" si="1"/>
        <v>0.73</v>
      </c>
      <c r="E56" s="22" t="s">
        <v>98</v>
      </c>
      <c r="F56" s="22"/>
    </row>
    <row r="58" spans="1:6" ht="15.75" x14ac:dyDescent="0.25">
      <c r="A58" s="39" t="s">
        <v>99</v>
      </c>
      <c r="B58" s="30"/>
      <c r="C58" s="30"/>
      <c r="D58" s="30"/>
      <c r="E58" s="30"/>
      <c r="F58" s="30"/>
    </row>
    <row r="59" spans="1:6" x14ac:dyDescent="0.25">
      <c r="A59" s="17" t="s">
        <v>100</v>
      </c>
      <c r="B59" s="44" t="str">
        <f>INDEX(A51:A55, MATCH(MAX(D51:D55), D51:D55, 0))</f>
        <v>Mercadotecnia</v>
      </c>
      <c r="C59" s="34"/>
      <c r="D59" s="32"/>
      <c r="E59" s="24" t="s">
        <v>101</v>
      </c>
      <c r="F59" s="25">
        <f>MAX(D51:D55)</f>
        <v>0.9</v>
      </c>
    </row>
    <row r="60" spans="1:6" x14ac:dyDescent="0.25">
      <c r="A60" s="17" t="s">
        <v>102</v>
      </c>
      <c r="B60" s="33" t="str">
        <f>INDEX(A51:A55, MATCH(LARGE(D51:D55, 2), D51:D55, 0))</f>
        <v>Emprendimiento</v>
      </c>
      <c r="C60" s="34"/>
      <c r="D60" s="32"/>
      <c r="E60" s="24" t="s">
        <v>101</v>
      </c>
      <c r="F60" s="26">
        <f>LARGE(D51:D55, 2)</f>
        <v>0.85</v>
      </c>
    </row>
    <row r="62" spans="1:6" ht="15.75" x14ac:dyDescent="0.25">
      <c r="A62" s="39" t="s">
        <v>103</v>
      </c>
      <c r="B62" s="30"/>
      <c r="C62" s="30"/>
      <c r="D62" s="30"/>
      <c r="E62" s="30"/>
      <c r="F62" s="30"/>
    </row>
    <row r="63" spans="1:6" x14ac:dyDescent="0.25">
      <c r="A63" s="41" t="s">
        <v>104</v>
      </c>
      <c r="B63" s="30"/>
      <c r="C63" s="30"/>
      <c r="D63" s="30"/>
      <c r="E63" s="30"/>
      <c r="F63" s="30"/>
    </row>
    <row r="64" spans="1:6" x14ac:dyDescent="0.25">
      <c r="A64" s="17" t="s">
        <v>105</v>
      </c>
      <c r="B64" s="44" t="str">
        <f>B59</f>
        <v>Mercadotecnia</v>
      </c>
      <c r="C64" s="32"/>
      <c r="D64" s="17" t="s">
        <v>106</v>
      </c>
      <c r="E64" s="40">
        <f>F59</f>
        <v>0.9</v>
      </c>
      <c r="F64" s="32"/>
    </row>
    <row r="65" spans="1:6" x14ac:dyDescent="0.25">
      <c r="A65" s="17" t="s">
        <v>107</v>
      </c>
      <c r="B65" s="38" t="str">
        <f>VLOOKUP(B59, Guía_Tutoría!A3:E7, 2, FALSE)</f>
        <v>Influencia (I) + Dominancia (D) - Alta persuasión, orientación a metas y comunicación fluida.</v>
      </c>
      <c r="C65" s="34"/>
      <c r="D65" s="34"/>
      <c r="E65" s="34"/>
      <c r="F65" s="32"/>
    </row>
    <row r="66" spans="1:6" x14ac:dyDescent="0.25">
      <c r="A66" s="17" t="s">
        <v>108</v>
      </c>
      <c r="B66" s="38" t="str">
        <f>VLOOKUP(B59, Guía_Tutoría!A3:E7, 3, FALSE)</f>
        <v>Emprendedor - Artístico (E-A) - Creatividad aplicada, visión comercial y gusto por la expresión.</v>
      </c>
      <c r="C66" s="34"/>
      <c r="D66" s="34"/>
      <c r="E66" s="34"/>
      <c r="F66" s="32"/>
    </row>
    <row r="67" spans="1:6" x14ac:dyDescent="0.25">
      <c r="A67" s="17" t="s">
        <v>109</v>
      </c>
      <c r="B67" s="38" t="str">
        <f>VLOOKUP(B59, Guía_Tutoría!A3:E7, 4, FALSE)</f>
        <v>Amarillo (Holístico/Creativo) - Síntesis visual, intuición de mercado y conceptualización.</v>
      </c>
      <c r="C67" s="34"/>
      <c r="D67" s="34"/>
      <c r="E67" s="34"/>
      <c r="F67" s="32"/>
    </row>
    <row r="68" spans="1:6" x14ac:dyDescent="0.25">
      <c r="A68" s="17" t="s">
        <v>110</v>
      </c>
      <c r="B68" s="38" t="str">
        <f>VLOOKUP(B59, Guía_Tutoría!A3:E7, 5, FALSE)</f>
        <v>Adaptación comunicativa, análisis de necesidades del usuario, segmentación y diferenciación.</v>
      </c>
      <c r="C68" s="34"/>
      <c r="D68" s="34"/>
      <c r="E68" s="34"/>
      <c r="F68" s="32"/>
    </row>
    <row r="69" spans="1:6" x14ac:dyDescent="0.25">
      <c r="A69" s="17" t="s">
        <v>111</v>
      </c>
      <c r="B69" s="38" t="str">
        <f>IF(F59&gt;=0.8, "CONVERGENCIA ALTA: Cuentas con un perfil sólido y alta autoeficacia percibida para desenvolverte con éxito en " &amp; B59 &amp; ". Se recomienda proyectar rutas de desarrollo avanzado y participación en proyectos académicos especializados.", IF(F59&gt;=0.5, "PERFIL EN DESARROLLO: Muestras una afinidad adecuada con " &amp; B59 &amp; ", pero se sugiere reforzar algunas competencias técnicas y hábitos de práctica autónoma antes de definir la especialidad final.", "PERFIL EXPLORATORIO: Tu puntaje en " &amp; B59 &amp; " indica un nivel inicial. Se aconseja profundizar mediante entrevistas de tutoría y talleres de nivelación antes de confirmar la elección."))</f>
        <v>CONVERGENCIA ALTA: Cuentas con un perfil sólido y alta autoeficacia percibida para desenvolverte con éxito en Mercadotecnia. Se recomienda proyectar rutas de desarrollo avanzado y participación en proyectos académicos especializados.</v>
      </c>
      <c r="C69" s="34"/>
      <c r="D69" s="34"/>
      <c r="E69" s="34"/>
      <c r="F69" s="32"/>
    </row>
    <row r="71" spans="1:6" x14ac:dyDescent="0.25">
      <c r="A71" s="41" t="s">
        <v>112</v>
      </c>
      <c r="B71" s="30"/>
      <c r="C71" s="30"/>
      <c r="D71" s="30"/>
      <c r="E71" s="30"/>
      <c r="F71" s="30"/>
    </row>
    <row r="72" spans="1:6" x14ac:dyDescent="0.25">
      <c r="A72" s="17" t="s">
        <v>113</v>
      </c>
      <c r="B72" s="37" t="str">
        <f>B60</f>
        <v>Emprendimiento</v>
      </c>
      <c r="C72" s="32"/>
      <c r="D72" s="17" t="s">
        <v>106</v>
      </c>
      <c r="E72" s="45">
        <f>F60</f>
        <v>0.85</v>
      </c>
      <c r="F72" s="32"/>
    </row>
    <row r="73" spans="1:6" x14ac:dyDescent="0.25">
      <c r="A73" s="17" t="s">
        <v>114</v>
      </c>
      <c r="B73" s="38" t="str">
        <f>"Tu segunda mejor alternativa es " &amp; B60 &amp; " (" &amp; TEXT(F60,"0.0%") &amp; " de dominio). Esta especialidad actúa como un excelente complemento interdisciplinario para tu perfil profesional, combinando rasgos de " &amp; VLOOKUP(B60, Guía_Tutoría!A3:E7, 2, FALSE) &amp; " y " &amp; VLOOKUP(B60, Guía_Tutoría!A3:E7, 3, FALSE) &amp; "."</f>
        <v>Tu segunda mejor alternativa es Emprendimiento (85.0% de dominio). Esta especialidad actúa como un excelente complemento interdisciplinario para tu perfil profesional, combinando rasgos de Dominancia (D) + Influencia (I) - Alta tolerancia al riesgo, iniciativa y liderazgo motivacional. y Emprendedor (E) - Búsqueda de oportunidades, toma de decisiones e innovación aplicada..</v>
      </c>
      <c r="C73" s="34"/>
      <c r="D73" s="34"/>
      <c r="E73" s="34"/>
      <c r="F73" s="32"/>
    </row>
    <row r="74" spans="1:6" x14ac:dyDescent="0.25">
      <c r="A74" s="17" t="s">
        <v>115</v>
      </c>
      <c r="B74" s="38" t="str">
        <f>IF(ABS(F59-F60)&lt;=0.05, "PERFIL HÍBRIDO / EMPATE TÉCNICO: La diferencia entre tus dos primeras opciones es menor al 5%. Presentas un perfil polivalente. Se sugiere analizar los mapas curriculares de ambas áreas junto con tu tutor.", "ELECCIÓN CLARA: Existe una diferencia definida en favor de " &amp; B59 &amp; ". Mantén " &amp; B60 &amp; " como tu opción secundaria o área de acentuación de competencias secundarias.")</f>
        <v>PERFIL HÍBRIDO / EMPATE TÉCNICO: La diferencia entre tus dos primeras opciones es menor al 5%. Presentas un perfil polivalente. Se sugiere analizar los mapas curriculares de ambas áreas junto con tu tutor.</v>
      </c>
      <c r="C74" s="34"/>
      <c r="D74" s="34"/>
      <c r="E74" s="34"/>
      <c r="F74" s="32"/>
    </row>
    <row r="77" spans="1:6" x14ac:dyDescent="0.25">
      <c r="A77" s="43" t="s">
        <v>116</v>
      </c>
      <c r="B77" s="30"/>
      <c r="C77" s="30"/>
      <c r="D77" s="43" t="s">
        <v>117</v>
      </c>
      <c r="E77" s="30"/>
      <c r="F77" s="30"/>
    </row>
  </sheetData>
  <mergeCells count="41">
    <mergeCell ref="A77:C77"/>
    <mergeCell ref="B74:F74"/>
    <mergeCell ref="B65:F65"/>
    <mergeCell ref="B68:F68"/>
    <mergeCell ref="B6:C6"/>
    <mergeCell ref="D19:F19"/>
    <mergeCell ref="A49:F49"/>
    <mergeCell ref="B59:D59"/>
    <mergeCell ref="B15:C15"/>
    <mergeCell ref="B64:C64"/>
    <mergeCell ref="E72:F72"/>
    <mergeCell ref="D77:F77"/>
    <mergeCell ref="B73:F73"/>
    <mergeCell ref="D14:F14"/>
    <mergeCell ref="B69:F69"/>
    <mergeCell ref="B19:C19"/>
    <mergeCell ref="A9:F9"/>
    <mergeCell ref="A58:F58"/>
    <mergeCell ref="A5:F5"/>
    <mergeCell ref="A1:F2"/>
    <mergeCell ref="D18:F18"/>
    <mergeCell ref="B67:F67"/>
    <mergeCell ref="B14:C14"/>
    <mergeCell ref="B17:C17"/>
    <mergeCell ref="A62:F62"/>
    <mergeCell ref="D15:F15"/>
    <mergeCell ref="B13:C13"/>
    <mergeCell ref="A63:F63"/>
    <mergeCell ref="B72:C72"/>
    <mergeCell ref="B66:F66"/>
    <mergeCell ref="D17:F17"/>
    <mergeCell ref="B18:C18"/>
    <mergeCell ref="A21:F21"/>
    <mergeCell ref="E64:F64"/>
    <mergeCell ref="A71:F71"/>
    <mergeCell ref="D13:F13"/>
    <mergeCell ref="B16:C16"/>
    <mergeCell ref="B60:D60"/>
    <mergeCell ref="B7:C7"/>
    <mergeCell ref="A10:F11"/>
    <mergeCell ref="D16:F16"/>
  </mergeCells>
  <dataValidations count="1">
    <dataValidation type="list" allowBlank="1" sqref="E23:E47" xr:uid="{00000000-0002-0000-0000-000000000000}">
      <formula1>"0,1,2,3,4,SE"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baseColWidth="10" defaultColWidth="9.140625" defaultRowHeight="15" x14ac:dyDescent="0.25"/>
  <cols>
    <col min="1" max="1" width="24" customWidth="1"/>
    <col min="2" max="4" width="30" customWidth="1"/>
    <col min="5" max="5" width="32" customWidth="1"/>
  </cols>
  <sheetData>
    <row r="1" spans="1:5" ht="21" x14ac:dyDescent="0.25">
      <c r="A1" s="46" t="s">
        <v>118</v>
      </c>
      <c r="B1" s="30"/>
      <c r="C1" s="30"/>
      <c r="D1" s="30"/>
      <c r="E1" s="30"/>
    </row>
    <row r="2" spans="1:5" x14ac:dyDescent="0.25">
      <c r="A2" s="6" t="s">
        <v>91</v>
      </c>
      <c r="B2" s="6" t="s">
        <v>119</v>
      </c>
      <c r="C2" s="6" t="s">
        <v>120</v>
      </c>
      <c r="D2" s="6" t="s">
        <v>121</v>
      </c>
      <c r="E2" s="6" t="s">
        <v>122</v>
      </c>
    </row>
    <row r="3" spans="1:5" ht="38.25" x14ac:dyDescent="0.25">
      <c r="A3" s="27" t="s">
        <v>35</v>
      </c>
      <c r="B3" s="28" t="s">
        <v>123</v>
      </c>
      <c r="C3" s="28" t="s">
        <v>124</v>
      </c>
      <c r="D3" s="28" t="s">
        <v>125</v>
      </c>
      <c r="E3" s="28" t="s">
        <v>126</v>
      </c>
    </row>
    <row r="4" spans="1:5" ht="38.25" x14ac:dyDescent="0.25">
      <c r="A4" s="27" t="s">
        <v>46</v>
      </c>
      <c r="B4" s="28" t="s">
        <v>127</v>
      </c>
      <c r="C4" s="28" t="s">
        <v>128</v>
      </c>
      <c r="D4" s="28" t="s">
        <v>129</v>
      </c>
      <c r="E4" s="28" t="s">
        <v>130</v>
      </c>
    </row>
    <row r="5" spans="1:5" ht="38.25" x14ac:dyDescent="0.25">
      <c r="A5" s="27" t="s">
        <v>57</v>
      </c>
      <c r="B5" s="28" t="s">
        <v>131</v>
      </c>
      <c r="C5" s="28" t="s">
        <v>132</v>
      </c>
      <c r="D5" s="28" t="s">
        <v>133</v>
      </c>
      <c r="E5" s="28" t="s">
        <v>134</v>
      </c>
    </row>
    <row r="6" spans="1:5" ht="38.25" x14ac:dyDescent="0.25">
      <c r="A6" s="27" t="s">
        <v>68</v>
      </c>
      <c r="B6" s="28" t="s">
        <v>135</v>
      </c>
      <c r="C6" s="28" t="s">
        <v>136</v>
      </c>
      <c r="D6" s="28" t="s">
        <v>137</v>
      </c>
      <c r="E6" s="28" t="s">
        <v>138</v>
      </c>
    </row>
    <row r="7" spans="1:5" ht="38.25" x14ac:dyDescent="0.25">
      <c r="A7" s="27" t="s">
        <v>79</v>
      </c>
      <c r="B7" s="28" t="s">
        <v>139</v>
      </c>
      <c r="C7" s="28" t="s">
        <v>140</v>
      </c>
      <c r="D7" s="28" t="s">
        <v>141</v>
      </c>
      <c r="E7" s="28" t="s">
        <v>142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Test_Orientación</vt:lpstr>
      <vt:lpstr>Guía_Tutoría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Karina 	 Orozco Blas FDCS</cp:lastModifiedBy>
  <dcterms:created xsi:type="dcterms:W3CDTF">2026-10-15T01:45:01Z</dcterms:created>
  <dcterms:modified xsi:type="dcterms:W3CDTF">2026-10-15T02:01:23Z</dcterms:modified>
</cp:coreProperties>
</file>