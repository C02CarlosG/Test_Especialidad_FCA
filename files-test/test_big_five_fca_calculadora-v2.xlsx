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13_ncr:1_{841C49BD-9C93-4F3E-874F-A077F06A304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est y Respuestas" sheetId="1" r:id="rId1"/>
    <sheet name="Resultados y Diagnóstico" sheetId="2" r:id="rId2"/>
    <sheet name="Guía Campos Formativ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D26" i="2" s="1"/>
  <c r="B8" i="2"/>
  <c r="D25" i="2" s="1"/>
  <c r="C7" i="2"/>
  <c r="B7" i="2"/>
  <c r="D24" i="2" s="1"/>
  <c r="B6" i="2"/>
  <c r="D23" i="2" s="1"/>
  <c r="B5" i="2"/>
  <c r="D22" i="2" s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C9" i="2" l="1"/>
  <c r="C26" i="2"/>
  <c r="E9" i="2"/>
  <c r="E26" i="2"/>
  <c r="C24" i="2"/>
  <c r="E7" i="2"/>
  <c r="E24" i="2"/>
  <c r="E8" i="2"/>
  <c r="C25" i="2"/>
  <c r="C8" i="2"/>
  <c r="E25" i="2"/>
  <c r="C6" i="2"/>
  <c r="E23" i="2"/>
  <c r="E6" i="2"/>
  <c r="C23" i="2"/>
  <c r="C5" i="2"/>
  <c r="C22" i="2"/>
  <c r="E5" i="2"/>
  <c r="E22" i="2"/>
  <c r="D5" i="2"/>
  <c r="D6" i="2"/>
  <c r="D7" i="2"/>
  <c r="D8" i="2"/>
  <c r="D9" i="2"/>
  <c r="C14" i="2"/>
  <c r="C15" i="2"/>
  <c r="C16" i="2"/>
  <c r="C17" i="2"/>
  <c r="C18" i="2"/>
  <c r="B22" i="2"/>
  <c r="B23" i="2"/>
  <c r="B24" i="2"/>
  <c r="B25" i="2"/>
  <c r="B26" i="2"/>
  <c r="C35" i="2" l="1"/>
  <c r="B35" i="2"/>
  <c r="D18" i="2"/>
  <c r="C33" i="2"/>
  <c r="B33" i="2"/>
  <c r="D16" i="2"/>
  <c r="C31" i="2"/>
  <c r="E30" i="2"/>
  <c r="C30" i="2"/>
  <c r="A30" i="2"/>
  <c r="B31" i="2"/>
  <c r="D30" i="2"/>
  <c r="B30" i="2"/>
  <c r="D14" i="2"/>
  <c r="C34" i="2"/>
  <c r="B34" i="2"/>
  <c r="D17" i="2"/>
  <c r="C32" i="2"/>
  <c r="B32" i="2"/>
  <c r="D15" i="2"/>
</calcChain>
</file>

<file path=xl/sharedStrings.xml><?xml version="1.0" encoding="utf-8"?>
<sst xmlns="http://schemas.openxmlformats.org/spreadsheetml/2006/main" count="150" uniqueCount="108">
  <si>
    <t>FACULTAD DE CONTADURÍA Y ADMINISTRACIÓN - UNAM</t>
  </si>
  <si>
    <t>EVALUACIÓN DE PERSONALIDAD BIG FIVE (OCEAN) PARA ELECCIÓN DE CAMPOS FORMATIVOS</t>
  </si>
  <si>
    <t>INSTRUCCIONES DE APLICACIÓN:</t>
  </si>
  <si>
    <t>Evalúa cada afirmación indicando qué tan identificado/a te sientes en tu desempeño académico y profesional. Selecciona en la Columna 'Respuesta' un número del 1 al 5.</t>
  </si>
  <si>
    <t>1 = Totalmente en desacuerdo | 2 = En desacuerdo | 3 = Neutral | 4 = De acuerdo | 5 = Totalmente de acuerdo</t>
  </si>
  <si>
    <t>#</t>
  </si>
  <si>
    <t>Dimensión OCEAN</t>
  </si>
  <si>
    <t>Afirmación / Reactivo</t>
  </si>
  <si>
    <t>Respuesta (1-5)</t>
  </si>
  <si>
    <t>Estado</t>
  </si>
  <si>
    <t>Apertura a la Experiencia</t>
  </si>
  <si>
    <t>Disfruto proponiendo ideas creativas para resolver problemas o diseñar proyectos nuevos en mis materias.</t>
  </si>
  <si>
    <t>Me interesa explorar constantemente nuevas tendencias de mercado, tecnología o modelos de negocio.</t>
  </si>
  <si>
    <t>Prefiero tareas académicas que requieran innovación y pensamiento fuera de lo convencional.</t>
  </si>
  <si>
    <t>Me adapto con facilidad a entornos de trabajo cambiantes o proyectos con alta incertidumbre.</t>
  </si>
  <si>
    <t>Me atrae aprender sobre temas interdisciplinarios fuera de mi zona de confort profesional.</t>
  </si>
  <si>
    <t>Responsabilidad / Tesón</t>
  </si>
  <si>
    <t>Soy muy organizado/a y entrego mis trabajos y proyectos con exactitud antes de la fecha límite.</t>
  </si>
  <si>
    <t>Me enfoco en mantener un control riguroso sobre datos, presupuestos, procedimientos o normas.</t>
  </si>
  <si>
    <t>Establezco metas profesionales claras a largo plazo y muestro alta autodisciplina para alcanzarlas.</t>
  </si>
  <si>
    <t>Verifico cuidadosamente la precisión de la información o cifras antes de tomar una decisión.</t>
  </si>
  <si>
    <t>Sigo metodologías y estructuras de trabajo bien definidas para garantizar la calidad en mis entregas.</t>
  </si>
  <si>
    <t>Extraversión</t>
  </si>
  <si>
    <t>Me siento lleno/a de energía al dirigir reuniones, negociar o hablar ante un público o comité.</t>
  </si>
  <si>
    <t>Busco activamente oportunidades para hacer networking y establecer nuevas relaciones estratégicas.</t>
  </si>
  <si>
    <t>Expreso mis opiniones de forma asertiva en debates de equipo o al defender una postura.</t>
  </si>
  <si>
    <t>Disfruto coordinar eventos, campañas o actividades dinámicas que involucren a muchas personas.</t>
  </si>
  <si>
    <t>Prefiero entornos de trabajo acelerados con constante interacción social sobre el trabajo aislado.</t>
  </si>
  <si>
    <t>Amabilidad / Cordialidad</t>
  </si>
  <si>
    <t>Procuro entender las necesidades y emociones de mis compañeros para mantener la cohesión del equipo.</t>
  </si>
  <si>
    <t>Me resulta natural actuar como mediador/a en conflictos y promover acuerdos cooperativos.</t>
  </si>
  <si>
    <t>Disfruto orientar, capacitar y apoyar el desarrollo personal y profesional de otras personas.</t>
  </si>
  <si>
    <t>Priorizo el bienestar colectivo y el ambiente laboral sobre la competencia individual encarnizada.</t>
  </si>
  <si>
    <t>Escucho con apertura y empatía las preocupaciones o retroalimentación de los demás.</t>
  </si>
  <si>
    <t>Estabilidad Emocional</t>
  </si>
  <si>
    <t>Mantengo la calma y la claridad analítica aun cuando trabajo bajo alta presión o plazos ajustados.</t>
  </si>
  <si>
    <t>Manejo la incertidumbre financiera o las crisis imprevistas sin perder el enfoque ni la tranquilidad.</t>
  </si>
  <si>
    <t>Reacciono con resiliencia ante los errores o críticas, utilizándolos como aprendizaje.</t>
  </si>
  <si>
    <t>Rara vez me siento abrumado/a por el estrés de cargas académicas o laborales exigentes.</t>
  </si>
  <si>
    <t>Tomo decisiones estratégicas de forma objetiva, separando el análisis racional de las emociones.</t>
  </si>
  <si>
    <t>DIAGNÓSTICO Y PERFIL DE PERSONALIDAD BIG FIVE</t>
  </si>
  <si>
    <t>1. RESUMEN DE PUNTUACIONES POR DIMENSIÓN</t>
  </si>
  <si>
    <t>Dimensión Big Five</t>
  </si>
  <si>
    <t>Puntaje Bruto (5-25)</t>
  </si>
  <si>
    <t>Porcentaje (%)</t>
  </si>
  <si>
    <t>Nivel de Rasgo</t>
  </si>
  <si>
    <t>Interpretación Básica</t>
  </si>
  <si>
    <t>2. ALINEACIÓN CON CAMPOS FORMATIVOS (ESPECIALIDADES FCA)</t>
  </si>
  <si>
    <t>Campo Formativo</t>
  </si>
  <si>
    <t>Dimensiones Clave</t>
  </si>
  <si>
    <t>Índice de Afinidad (%)</t>
  </si>
  <si>
    <t>Nivel de Compatibilidad</t>
  </si>
  <si>
    <t>Recomendación Orientadora</t>
  </si>
  <si>
    <t>Mercadotecnia</t>
  </si>
  <si>
    <t>Apertura + Extraversión</t>
  </si>
  <si>
    <t>Creatividad, visión de mercado, dinamismo social y comunicación persuasiva.</t>
  </si>
  <si>
    <t>Capital Humano</t>
  </si>
  <si>
    <t>Amabilidad + Extraversión</t>
  </si>
  <si>
    <t>Gestión del talento, empatía organizacional, mediación y liderazgo de equipos.</t>
  </si>
  <si>
    <t>Administración Financiera</t>
  </si>
  <si>
    <t>Responsabilidad + Estabilidad Emocional</t>
  </si>
  <si>
    <t>Rigor cuantitativo, control de riesgos, disciplina y toma de decisiones bajo presión.</t>
  </si>
  <si>
    <t>Negocios Internacionales</t>
  </si>
  <si>
    <t>Apertura + Estabilidad + Extraversión</t>
  </si>
  <si>
    <t>Inteligencia cultural, adaptabilidad global, resiliencia y capacidad de negociación.</t>
  </si>
  <si>
    <t>Emprendimiento</t>
  </si>
  <si>
    <t>Apertura + Responsabilidad + Estabilidad</t>
  </si>
  <si>
    <t>Visión de oportunidad, autodisciplina ejecutiva, resiliencia y tolerancia al riesgo.</t>
  </si>
  <si>
    <t>3. INTERPRETACIÓN DINÁMICA DETALLADA POR DIMENSIÓN OCEAN</t>
  </si>
  <si>
    <t>Puntaje / Nivel</t>
  </si>
  <si>
    <t>Análisis de Conducta y Estilo de Trabajo</t>
  </si>
  <si>
    <t>Puntos Fuertes Destacados</t>
  </si>
  <si>
    <t>Estrategia de Desarrollo Sugerida</t>
  </si>
  <si>
    <t>4. DIAGNÓSTICO ORIENTADOR INTEGRAL Y RECOMENDACIÓN DE ESPECIALIDAD</t>
  </si>
  <si>
    <t>Especialidad Recomendada</t>
  </si>
  <si>
    <t>Nivel de Afinidad Calculado</t>
  </si>
  <si>
    <t>Dictamen y Diagnóstico de Alineación</t>
  </si>
  <si>
    <t>Puntos de Apalancamiento</t>
  </si>
  <si>
    <t>Plan de Acción para el 5º Semestre</t>
  </si>
  <si>
    <t>Facilidad de comunicación, lectura de tendencias y dinamismo.</t>
  </si>
  <si>
    <t>Aprender herramientas analíticas de Mkt Digital y analítica de datos.</t>
  </si>
  <si>
    <t>Empatía, escucha activa, mediación de conflictos y vocación de servicio.</t>
  </si>
  <si>
    <t>Desarrollar técnicas de negociación asertiva y evaluación del desempeño.</t>
  </si>
  <si>
    <t>Disciplina, precisión numérica, control presupuestario y resiliencia.</t>
  </si>
  <si>
    <t>Fortalecer modelación en Excel avanzado y análisis de estados financieros.</t>
  </si>
  <si>
    <t>Adaptabilidad cultural, negociación, resiliencia y visión global.</t>
  </si>
  <si>
    <t>Practicar idiomas y estudiar marcos normativos del comercio exterior.</t>
  </si>
  <si>
    <t>Visión innovadora, automotivación, resiliencia y enfoque a metas.</t>
  </si>
  <si>
    <t>Diseñar un plan de negocios estructurado y validar propuestas de valor.</t>
  </si>
  <si>
    <t>GUÍA ORIENTADORA DE CAMPOS FORMATIVOS Y COMPETENCIAS BIG FIVE</t>
  </si>
  <si>
    <t>Perfil OCEAN Ideal</t>
  </si>
  <si>
    <t>Fortalezas Clave de Personalidad</t>
  </si>
  <si>
    <t>Estrategias de Desarrollo</t>
  </si>
  <si>
    <t>Alta Apertura + Alta Extraversión</t>
  </si>
  <si>
    <t>Pensamiento innovador, capacidad analítica de tendencias, entusiasmo social y comunicación persuasiva.</t>
  </si>
  <si>
    <t>Desarrollar rigor metodológico en la evaluación cuantitativa del ROI y la gestión de presupuestos.</t>
  </si>
  <si>
    <t>Alta Amabilidad + Alta Extraversión</t>
  </si>
  <si>
    <t>Empatía hacia los colaboradores, capacidad de negociación, mediación de conflictos y liderazgo transformacional.</t>
  </si>
  <si>
    <t>Cultivar la objetividad analítica para la toma de decisiones difíciles en evaluación del desempeño y reestructuraciones.</t>
  </si>
  <si>
    <t>Alta Responsabilidad + Alta Estabilidad Emocional</t>
  </si>
  <si>
    <t>Meticulosidad en datos, disciplina presupuestaria, serenidad en mercados volátiles y apego a controles.</t>
  </si>
  <si>
    <t>Fomentar la flexibilidad ante cambios imprevistos y habilidades socioemocionales para comunicar resultados financieros.</t>
  </si>
  <si>
    <t>Alta Apertura + Alta Estabilidad + Extraversión</t>
  </si>
  <si>
    <t>Adaptabilidad cultural, visión de mercados globales, tolerancia a la ambigüedad y diplomacia comercial.</t>
  </si>
  <si>
    <t>Reforzar la atención al detalle en normatividad aduanera, contratos y aspectos legales del comercio exterior.</t>
  </si>
  <si>
    <t>Alta Apertura + Alta Responsabilidad + Estabilidad</t>
  </si>
  <si>
    <t>Visión de oportunidad, automotivación, resiliencia ante el fracaso y capacidad de ejecución estratégica.</t>
  </si>
  <si>
    <t>Aprender a delegar oportunamente y desarrollar empatía en la formación del equipo fundador.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</si>
</sst>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i/>
      <sz val="9"/>
      <color rgb="FF59595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3" fillId="5" borderId="2" xfId="0" applyFont="1" applyFill="1" applyBorder="1"/>
    <xf numFmtId="164" fontId="3" fillId="7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/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 wrapText="1"/>
    </xf>
    <xf numFmtId="0" fontId="3" fillId="0" borderId="2" xfId="0" applyFont="1" applyBorder="1"/>
    <xf numFmtId="0" fontId="0" fillId="0" borderId="2" xfId="0" applyBorder="1" applyAlignment="1">
      <alignment horizontal="left" vertical="center" wrapText="1"/>
    </xf>
    <xf numFmtId="164" fontId="3" fillId="7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Perfil de Personalidad Big Five (OCEAN)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'Resultados y Diagnóstico'!$C$4</c:f>
              <c:strCache>
                <c:ptCount val="1"/>
                <c:pt idx="0">
                  <c:v>Porcentaje (%)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1"/>
            <c:marker>
              <c:symbol val="none"/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2"/>
            <c:marker>
              <c:symbol val="none"/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3"/>
            <c:marker>
              <c:symbol val="none"/>
            </c:marker>
            <c:bubble3D val="0"/>
            <c:spPr>
              <a:ln w="31750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dPt>
            <c:idx val="4"/>
            <c:marker>
              <c:symbol val="none"/>
            </c:marker>
            <c:bubble3D val="0"/>
            <c:spPr>
              <a:ln w="31750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dPt>
          <c:cat>
            <c:strRef>
              <c:f>'Resultados y Diagnóstico'!$A$5:$A$9</c:f>
              <c:strCache>
                <c:ptCount val="5"/>
                <c:pt idx="0">
                  <c:v>Apertura a la Experiencia</c:v>
                </c:pt>
                <c:pt idx="1">
                  <c:v>Responsabilidad / Tesón</c:v>
                </c:pt>
                <c:pt idx="2">
                  <c:v>Extraversión</c:v>
                </c:pt>
                <c:pt idx="3">
                  <c:v>Amabilidad / Cordialidad</c:v>
                </c:pt>
                <c:pt idx="4">
                  <c:v>Estabilidad Emocional</c:v>
                </c:pt>
              </c:strCache>
            </c:strRef>
          </c:cat>
          <c:val>
            <c:numRef>
              <c:f>'Resultados y Diagnóstico'!$C$5:$C$9</c:f>
              <c:numCache>
                <c:formatCode>0.0%</c:formatCode>
                <c:ptCount val="5"/>
                <c:pt idx="0">
                  <c:v>0.68</c:v>
                </c:pt>
                <c:pt idx="1">
                  <c:v>0.64</c:v>
                </c:pt>
                <c:pt idx="2">
                  <c:v>0.76</c:v>
                </c:pt>
                <c:pt idx="3">
                  <c:v>0.72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A-4209-90F0-33D653145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Dimensiones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 (%)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0</xdr:row>
      <xdr:rowOff>0</xdr:rowOff>
    </xdr:from>
    <xdr:ext cx="5242928" cy="55866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>
      <selection activeCell="H29" sqref="H29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75" customWidth="1"/>
    <col min="4" max="4" width="16" customWidth="1"/>
    <col min="5" max="5" width="14" customWidth="1"/>
  </cols>
  <sheetData>
    <row r="1" spans="1:5" ht="27.95" customHeight="1" x14ac:dyDescent="0.25">
      <c r="A1" s="27" t="s">
        <v>0</v>
      </c>
      <c r="B1" s="26"/>
      <c r="C1" s="26"/>
      <c r="D1" s="26"/>
      <c r="E1" s="26"/>
    </row>
    <row r="2" spans="1:5" x14ac:dyDescent="0.25">
      <c r="A2" s="25" t="s">
        <v>1</v>
      </c>
      <c r="B2" s="26"/>
      <c r="C2" s="26"/>
      <c r="D2" s="26"/>
      <c r="E2" s="26"/>
    </row>
    <row r="4" spans="1:5" x14ac:dyDescent="0.25">
      <c r="A4" s="1" t="s">
        <v>2</v>
      </c>
    </row>
    <row r="5" spans="1:5" x14ac:dyDescent="0.25">
      <c r="A5" s="2" t="s">
        <v>3</v>
      </c>
    </row>
    <row r="6" spans="1:5" x14ac:dyDescent="0.25">
      <c r="A6" s="3" t="s">
        <v>4</v>
      </c>
    </row>
    <row r="8" spans="1:5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</row>
    <row r="9" spans="1:5" x14ac:dyDescent="0.25">
      <c r="A9" s="5">
        <v>1</v>
      </c>
      <c r="B9" s="6" t="s">
        <v>10</v>
      </c>
      <c r="C9" s="6" t="s">
        <v>11</v>
      </c>
      <c r="D9" s="7">
        <v>3</v>
      </c>
      <c r="E9" s="8" t="str">
        <f t="shared" ref="E9:E33" si="0">IF(ISBLANK(D9), "Pendiente", "Respondido")</f>
        <v>Respondido</v>
      </c>
    </row>
    <row r="10" spans="1:5" x14ac:dyDescent="0.25">
      <c r="A10" s="9">
        <v>2</v>
      </c>
      <c r="B10" s="10" t="s">
        <v>10</v>
      </c>
      <c r="C10" s="10" t="s">
        <v>12</v>
      </c>
      <c r="D10" s="7">
        <v>4</v>
      </c>
      <c r="E10" s="11" t="str">
        <f t="shared" si="0"/>
        <v>Respondido</v>
      </c>
    </row>
    <row r="11" spans="1:5" x14ac:dyDescent="0.25">
      <c r="A11" s="5">
        <v>3</v>
      </c>
      <c r="B11" s="6" t="s">
        <v>10</v>
      </c>
      <c r="C11" s="6" t="s">
        <v>13</v>
      </c>
      <c r="D11" s="7">
        <v>4</v>
      </c>
      <c r="E11" s="8" t="str">
        <f t="shared" si="0"/>
        <v>Respondido</v>
      </c>
    </row>
    <row r="12" spans="1:5" x14ac:dyDescent="0.25">
      <c r="A12" s="9">
        <v>4</v>
      </c>
      <c r="B12" s="10" t="s">
        <v>10</v>
      </c>
      <c r="C12" s="10" t="s">
        <v>14</v>
      </c>
      <c r="D12" s="7">
        <v>5</v>
      </c>
      <c r="E12" s="11" t="str">
        <f t="shared" si="0"/>
        <v>Respondido</v>
      </c>
    </row>
    <row r="13" spans="1:5" x14ac:dyDescent="0.25">
      <c r="A13" s="5">
        <v>5</v>
      </c>
      <c r="B13" s="6" t="s">
        <v>10</v>
      </c>
      <c r="C13" s="6" t="s">
        <v>15</v>
      </c>
      <c r="D13" s="7">
        <v>1</v>
      </c>
      <c r="E13" s="8" t="str">
        <f t="shared" si="0"/>
        <v>Respondido</v>
      </c>
    </row>
    <row r="14" spans="1:5" x14ac:dyDescent="0.25">
      <c r="A14" s="9">
        <v>6</v>
      </c>
      <c r="B14" s="10" t="s">
        <v>16</v>
      </c>
      <c r="C14" s="10" t="s">
        <v>17</v>
      </c>
      <c r="D14" s="7">
        <v>3</v>
      </c>
      <c r="E14" s="11" t="str">
        <f t="shared" si="0"/>
        <v>Respondido</v>
      </c>
    </row>
    <row r="15" spans="1:5" x14ac:dyDescent="0.25">
      <c r="A15" s="5">
        <v>7</v>
      </c>
      <c r="B15" s="6" t="s">
        <v>16</v>
      </c>
      <c r="C15" s="6" t="s">
        <v>18</v>
      </c>
      <c r="D15" s="7">
        <v>3</v>
      </c>
      <c r="E15" s="8" t="str">
        <f t="shared" si="0"/>
        <v>Respondido</v>
      </c>
    </row>
    <row r="16" spans="1:5" x14ac:dyDescent="0.25">
      <c r="A16" s="9">
        <v>8</v>
      </c>
      <c r="B16" s="10" t="s">
        <v>16</v>
      </c>
      <c r="C16" s="10" t="s">
        <v>19</v>
      </c>
      <c r="D16" s="7">
        <v>2</v>
      </c>
      <c r="E16" s="11" t="str">
        <f t="shared" si="0"/>
        <v>Respondido</v>
      </c>
    </row>
    <row r="17" spans="1:5" x14ac:dyDescent="0.25">
      <c r="A17" s="5">
        <v>9</v>
      </c>
      <c r="B17" s="6" t="s">
        <v>16</v>
      </c>
      <c r="C17" s="6" t="s">
        <v>20</v>
      </c>
      <c r="D17" s="7">
        <v>3</v>
      </c>
      <c r="E17" s="8" t="str">
        <f t="shared" si="0"/>
        <v>Respondido</v>
      </c>
    </row>
    <row r="18" spans="1:5" x14ac:dyDescent="0.25">
      <c r="A18" s="9">
        <v>10</v>
      </c>
      <c r="B18" s="10" t="s">
        <v>16</v>
      </c>
      <c r="C18" s="10" t="s">
        <v>21</v>
      </c>
      <c r="D18" s="7">
        <v>5</v>
      </c>
      <c r="E18" s="11" t="str">
        <f t="shared" si="0"/>
        <v>Respondido</v>
      </c>
    </row>
    <row r="19" spans="1:5" x14ac:dyDescent="0.25">
      <c r="A19" s="5">
        <v>11</v>
      </c>
      <c r="B19" s="6" t="s">
        <v>22</v>
      </c>
      <c r="C19" s="6" t="s">
        <v>23</v>
      </c>
      <c r="D19" s="7">
        <v>3</v>
      </c>
      <c r="E19" s="8" t="str">
        <f t="shared" si="0"/>
        <v>Respondido</v>
      </c>
    </row>
    <row r="20" spans="1:5" x14ac:dyDescent="0.25">
      <c r="A20" s="9">
        <v>12</v>
      </c>
      <c r="B20" s="10" t="s">
        <v>22</v>
      </c>
      <c r="C20" s="10" t="s">
        <v>24</v>
      </c>
      <c r="D20" s="7">
        <v>5</v>
      </c>
      <c r="E20" s="11" t="str">
        <f t="shared" si="0"/>
        <v>Respondido</v>
      </c>
    </row>
    <row r="21" spans="1:5" x14ac:dyDescent="0.25">
      <c r="A21" s="5">
        <v>13</v>
      </c>
      <c r="B21" s="6" t="s">
        <v>22</v>
      </c>
      <c r="C21" s="6" t="s">
        <v>25</v>
      </c>
      <c r="D21" s="7">
        <v>3</v>
      </c>
      <c r="E21" s="8" t="str">
        <f t="shared" si="0"/>
        <v>Respondido</v>
      </c>
    </row>
    <row r="22" spans="1:5" x14ac:dyDescent="0.25">
      <c r="A22" s="9">
        <v>14</v>
      </c>
      <c r="B22" s="10" t="s">
        <v>22</v>
      </c>
      <c r="C22" s="10" t="s">
        <v>26</v>
      </c>
      <c r="D22" s="7">
        <v>5</v>
      </c>
      <c r="E22" s="11" t="str">
        <f t="shared" si="0"/>
        <v>Respondido</v>
      </c>
    </row>
    <row r="23" spans="1:5" x14ac:dyDescent="0.25">
      <c r="A23" s="5">
        <v>15</v>
      </c>
      <c r="B23" s="6" t="s">
        <v>22</v>
      </c>
      <c r="C23" s="6" t="s">
        <v>27</v>
      </c>
      <c r="D23" s="7">
        <v>3</v>
      </c>
      <c r="E23" s="8" t="str">
        <f t="shared" si="0"/>
        <v>Respondido</v>
      </c>
    </row>
    <row r="24" spans="1:5" x14ac:dyDescent="0.25">
      <c r="A24" s="9">
        <v>16</v>
      </c>
      <c r="B24" s="10" t="s">
        <v>28</v>
      </c>
      <c r="C24" s="10" t="s">
        <v>29</v>
      </c>
      <c r="D24" s="7">
        <v>2</v>
      </c>
      <c r="E24" s="11" t="str">
        <f t="shared" si="0"/>
        <v>Respondido</v>
      </c>
    </row>
    <row r="25" spans="1:5" x14ac:dyDescent="0.25">
      <c r="A25" s="5">
        <v>17</v>
      </c>
      <c r="B25" s="6" t="s">
        <v>28</v>
      </c>
      <c r="C25" s="6" t="s">
        <v>30</v>
      </c>
      <c r="D25" s="7">
        <v>3</v>
      </c>
      <c r="E25" s="8" t="str">
        <f t="shared" si="0"/>
        <v>Respondido</v>
      </c>
    </row>
    <row r="26" spans="1:5" x14ac:dyDescent="0.25">
      <c r="A26" s="9">
        <v>18</v>
      </c>
      <c r="B26" s="10" t="s">
        <v>28</v>
      </c>
      <c r="C26" s="10" t="s">
        <v>31</v>
      </c>
      <c r="D26" s="7">
        <v>5</v>
      </c>
      <c r="E26" s="11" t="str">
        <f t="shared" si="0"/>
        <v>Respondido</v>
      </c>
    </row>
    <row r="27" spans="1:5" x14ac:dyDescent="0.25">
      <c r="A27" s="5">
        <v>19</v>
      </c>
      <c r="B27" s="6" t="s">
        <v>28</v>
      </c>
      <c r="C27" s="6" t="s">
        <v>32</v>
      </c>
      <c r="D27" s="7">
        <v>3</v>
      </c>
      <c r="E27" s="8" t="str">
        <f t="shared" si="0"/>
        <v>Respondido</v>
      </c>
    </row>
    <row r="28" spans="1:5" x14ac:dyDescent="0.25">
      <c r="A28" s="9">
        <v>20</v>
      </c>
      <c r="B28" s="10" t="s">
        <v>28</v>
      </c>
      <c r="C28" s="10" t="s">
        <v>33</v>
      </c>
      <c r="D28" s="7">
        <v>5</v>
      </c>
      <c r="E28" s="11" t="str">
        <f t="shared" si="0"/>
        <v>Respondido</v>
      </c>
    </row>
    <row r="29" spans="1:5" x14ac:dyDescent="0.25">
      <c r="A29" s="5">
        <v>21</v>
      </c>
      <c r="B29" s="6" t="s">
        <v>34</v>
      </c>
      <c r="C29" s="6" t="s">
        <v>35</v>
      </c>
      <c r="D29" s="7">
        <v>3</v>
      </c>
      <c r="E29" s="8" t="str">
        <f t="shared" si="0"/>
        <v>Respondido</v>
      </c>
    </row>
    <row r="30" spans="1:5" x14ac:dyDescent="0.25">
      <c r="A30" s="9">
        <v>22</v>
      </c>
      <c r="B30" s="10" t="s">
        <v>34</v>
      </c>
      <c r="C30" s="10" t="s">
        <v>36</v>
      </c>
      <c r="D30" s="7">
        <v>4</v>
      </c>
      <c r="E30" s="11" t="str">
        <f t="shared" si="0"/>
        <v>Respondido</v>
      </c>
    </row>
    <row r="31" spans="1:5" x14ac:dyDescent="0.25">
      <c r="A31" s="5">
        <v>23</v>
      </c>
      <c r="B31" s="6" t="s">
        <v>34</v>
      </c>
      <c r="C31" s="6" t="s">
        <v>37</v>
      </c>
      <c r="D31" s="7">
        <v>3</v>
      </c>
      <c r="E31" s="8" t="str">
        <f t="shared" si="0"/>
        <v>Respondido</v>
      </c>
    </row>
    <row r="32" spans="1:5" x14ac:dyDescent="0.25">
      <c r="A32" s="9">
        <v>24</v>
      </c>
      <c r="B32" s="10" t="s">
        <v>34</v>
      </c>
      <c r="C32" s="10" t="s">
        <v>38</v>
      </c>
      <c r="D32" s="7">
        <v>5</v>
      </c>
      <c r="E32" s="11" t="str">
        <f t="shared" si="0"/>
        <v>Respondido</v>
      </c>
    </row>
    <row r="33" spans="1:5" x14ac:dyDescent="0.25">
      <c r="A33" s="5">
        <v>25</v>
      </c>
      <c r="B33" s="6" t="s">
        <v>34</v>
      </c>
      <c r="C33" s="6" t="s">
        <v>39</v>
      </c>
      <c r="D33" s="7">
        <v>5</v>
      </c>
      <c r="E33" s="8" t="str">
        <f t="shared" si="0"/>
        <v>Respondido</v>
      </c>
    </row>
  </sheetData>
  <mergeCells count="2">
    <mergeCell ref="A2:E2"/>
    <mergeCell ref="A1:E1"/>
  </mergeCells>
  <dataValidations count="1">
    <dataValidation type="list" allowBlank="1" sqref="D9 D10 D11 D12 D13 D14 D15 D16 D17 D18 D19 D20 D21 D22 D23 D24 D25 D26 D27 D28 D29 D30 D31 D32 D33" xr:uid="{00000000-0002-0000-0000-000000000000}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zoomScale="70" zoomScaleNormal="70" workbookViewId="0">
      <selection sqref="A1:E1"/>
    </sheetView>
  </sheetViews>
  <sheetFormatPr baseColWidth="10" defaultColWidth="9.140625" defaultRowHeight="15" x14ac:dyDescent="0.25"/>
  <cols>
    <col min="1" max="1" width="28" customWidth="1"/>
    <col min="2" max="2" width="22" customWidth="1"/>
    <col min="3" max="3" width="50" customWidth="1"/>
    <col min="4" max="4" width="40" customWidth="1"/>
    <col min="5" max="5" width="45" customWidth="1"/>
  </cols>
  <sheetData>
    <row r="1" spans="1:5" ht="27.95" customHeight="1" x14ac:dyDescent="0.25">
      <c r="A1" s="27" t="s">
        <v>40</v>
      </c>
      <c r="B1" s="26"/>
      <c r="C1" s="26"/>
      <c r="D1" s="26"/>
      <c r="E1" s="26"/>
    </row>
    <row r="3" spans="1:5" ht="21.95" customHeight="1" x14ac:dyDescent="0.25">
      <c r="A3" s="28" t="s">
        <v>41</v>
      </c>
      <c r="B3" s="26"/>
      <c r="C3" s="26"/>
      <c r="D3" s="26"/>
      <c r="E3" s="26"/>
    </row>
    <row r="4" spans="1:5" x14ac:dyDescent="0.25">
      <c r="A4" s="4" t="s">
        <v>42</v>
      </c>
      <c r="B4" s="4" t="s">
        <v>43</v>
      </c>
      <c r="C4" s="4" t="s">
        <v>44</v>
      </c>
      <c r="D4" s="4" t="s">
        <v>45</v>
      </c>
      <c r="E4" s="4" t="s">
        <v>46</v>
      </c>
    </row>
    <row r="5" spans="1:5" x14ac:dyDescent="0.25">
      <c r="A5" s="12" t="s">
        <v>10</v>
      </c>
      <c r="B5" s="5">
        <f>SUM('Test y Respuestas'!D9:D13)</f>
        <v>17</v>
      </c>
      <c r="C5" s="13">
        <f>B5/25</f>
        <v>0.68</v>
      </c>
      <c r="D5" s="14" t="str">
        <f>IF(B5&gt;=18, "Alto", IF(B5&gt;=14, "Medio", "Área de Desarrollo"))</f>
        <v>Medio</v>
      </c>
      <c r="E5" s="5" t="str">
        <f>IF(B5&gt;=18, "Fortaleza Prominente", IF(B5&gt;=14, "Competencia Equilibrada", "Requiere Esfuerzo Consciente"))</f>
        <v>Competencia Equilibrada</v>
      </c>
    </row>
    <row r="6" spans="1:5" x14ac:dyDescent="0.25">
      <c r="A6" s="15" t="s">
        <v>16</v>
      </c>
      <c r="B6" s="9">
        <f>SUM('Test y Respuestas'!D14:D18)</f>
        <v>16</v>
      </c>
      <c r="C6" s="13">
        <f>B6/25</f>
        <v>0.64</v>
      </c>
      <c r="D6" s="16" t="str">
        <f>IF(B6&gt;=18, "Alto", IF(B6&gt;=14, "Medio", "Área de Desarrollo"))</f>
        <v>Medio</v>
      </c>
      <c r="E6" s="9" t="str">
        <f>IF(B6&gt;=18, "Fortaleza Prominente", IF(B6&gt;=14, "Competencia Equilibrada", "Requiere Esfuerzo Consciente"))</f>
        <v>Competencia Equilibrada</v>
      </c>
    </row>
    <row r="7" spans="1:5" x14ac:dyDescent="0.25">
      <c r="A7" s="12" t="s">
        <v>22</v>
      </c>
      <c r="B7" s="5">
        <f>SUM('Test y Respuestas'!D19:D23)</f>
        <v>19</v>
      </c>
      <c r="C7" s="13">
        <f>B7/25</f>
        <v>0.76</v>
      </c>
      <c r="D7" s="14" t="str">
        <f>IF(B7&gt;=18, "Alto", IF(B7&gt;=14, "Medio", "Área de Desarrollo"))</f>
        <v>Alto</v>
      </c>
      <c r="E7" s="5" t="str">
        <f>IF(B7&gt;=18, "Fortaleza Prominente", IF(B7&gt;=14, "Competencia Equilibrada", "Requiere Esfuerzo Consciente"))</f>
        <v>Fortaleza Prominente</v>
      </c>
    </row>
    <row r="8" spans="1:5" x14ac:dyDescent="0.25">
      <c r="A8" s="15" t="s">
        <v>28</v>
      </c>
      <c r="B8" s="9">
        <f>SUM('Test y Respuestas'!D24:D28)</f>
        <v>18</v>
      </c>
      <c r="C8" s="13">
        <f>B8/25</f>
        <v>0.72</v>
      </c>
      <c r="D8" s="16" t="str">
        <f>IF(B8&gt;=18, "Alto", IF(B8&gt;=14, "Medio", "Área de Desarrollo"))</f>
        <v>Alto</v>
      </c>
      <c r="E8" s="9" t="str">
        <f>IF(B8&gt;=18, "Fortaleza Prominente", IF(B8&gt;=14, "Competencia Equilibrada", "Requiere Esfuerzo Consciente"))</f>
        <v>Fortaleza Prominente</v>
      </c>
    </row>
    <row r="9" spans="1:5" x14ac:dyDescent="0.25">
      <c r="A9" s="12" t="s">
        <v>34</v>
      </c>
      <c r="B9" s="5">
        <f>SUM('Test y Respuestas'!D29:D33)</f>
        <v>20</v>
      </c>
      <c r="C9" s="13">
        <f>B9/25</f>
        <v>0.8</v>
      </c>
      <c r="D9" s="14" t="str">
        <f>IF(B9&gt;=18, "Alto", IF(B9&gt;=14, "Medio", "Área de Desarrollo"))</f>
        <v>Alto</v>
      </c>
      <c r="E9" s="5" t="str">
        <f>IF(B9&gt;=18, "Fortaleza Prominente", IF(B9&gt;=14, "Competencia Equilibrada", "Requiere Esfuerzo Consciente"))</f>
        <v>Fortaleza Prominente</v>
      </c>
    </row>
    <row r="12" spans="1:5" ht="21.95" customHeight="1" x14ac:dyDescent="0.25">
      <c r="A12" s="28" t="s">
        <v>47</v>
      </c>
      <c r="B12" s="26"/>
      <c r="C12" s="26"/>
      <c r="D12" s="26"/>
      <c r="E12" s="26"/>
    </row>
    <row r="13" spans="1:5" x14ac:dyDescent="0.25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</row>
    <row r="14" spans="1:5" x14ac:dyDescent="0.25">
      <c r="A14" s="12" t="s">
        <v>53</v>
      </c>
      <c r="B14" s="5" t="s">
        <v>54</v>
      </c>
      <c r="C14" s="13">
        <f>(B5+B7)/50</f>
        <v>0.72</v>
      </c>
      <c r="D14" s="14" t="str">
        <f>IF(C14&gt;=0.76, "Alta Afinidad", IF(C14&gt;=0.56, "Afinidad Media", "Desarrollo Requerido"))</f>
        <v>Afinidad Media</v>
      </c>
      <c r="E14" s="6" t="s">
        <v>55</v>
      </c>
    </row>
    <row r="15" spans="1:5" x14ac:dyDescent="0.25">
      <c r="A15" s="15" t="s">
        <v>56</v>
      </c>
      <c r="B15" s="9" t="s">
        <v>57</v>
      </c>
      <c r="C15" s="13">
        <f>(B8+B7)/50</f>
        <v>0.74</v>
      </c>
      <c r="D15" s="16" t="str">
        <f>IF(C15&gt;=0.76, "Alta Afinidad", IF(C15&gt;=0.56, "Afinidad Media", "Desarrollo Requerido"))</f>
        <v>Afinidad Media</v>
      </c>
      <c r="E15" s="10" t="s">
        <v>58</v>
      </c>
    </row>
    <row r="16" spans="1:5" x14ac:dyDescent="0.25">
      <c r="A16" s="12" t="s">
        <v>59</v>
      </c>
      <c r="B16" s="5" t="s">
        <v>60</v>
      </c>
      <c r="C16" s="13">
        <f>(B6+B9)/50</f>
        <v>0.72</v>
      </c>
      <c r="D16" s="14" t="str">
        <f>IF(C16&gt;=0.76, "Alta Afinidad", IF(C16&gt;=0.56, "Afinidad Media", "Desarrollo Requerido"))</f>
        <v>Afinidad Media</v>
      </c>
      <c r="E16" s="6" t="s">
        <v>61</v>
      </c>
    </row>
    <row r="17" spans="1:5" x14ac:dyDescent="0.25">
      <c r="A17" s="15" t="s">
        <v>62</v>
      </c>
      <c r="B17" s="9" t="s">
        <v>63</v>
      </c>
      <c r="C17" s="13">
        <f>(B5+B9+B7)/75</f>
        <v>0.7466666666666667</v>
      </c>
      <c r="D17" s="16" t="str">
        <f>IF(C17&gt;=0.76, "Alta Afinidad", IF(C17&gt;=0.56, "Afinidad Media", "Desarrollo Requerido"))</f>
        <v>Afinidad Media</v>
      </c>
      <c r="E17" s="10" t="s">
        <v>64</v>
      </c>
    </row>
    <row r="18" spans="1:5" x14ac:dyDescent="0.25">
      <c r="A18" s="12" t="s">
        <v>65</v>
      </c>
      <c r="B18" s="5" t="s">
        <v>66</v>
      </c>
      <c r="C18" s="13">
        <f>(B5+B6+B9)/75</f>
        <v>0.70666666666666667</v>
      </c>
      <c r="D18" s="14" t="str">
        <f>IF(C18&gt;=0.76, "Alta Afinidad", IF(C18&gt;=0.56, "Afinidad Media", "Desarrollo Requerido"))</f>
        <v>Afinidad Media</v>
      </c>
      <c r="E18" s="6" t="s">
        <v>67</v>
      </c>
    </row>
    <row r="20" spans="1:5" ht="21.95" customHeight="1" x14ac:dyDescent="0.25">
      <c r="A20" s="28" t="s">
        <v>68</v>
      </c>
      <c r="B20" s="26"/>
      <c r="C20" s="26"/>
      <c r="D20" s="26"/>
      <c r="E20" s="26"/>
    </row>
    <row r="21" spans="1:5" x14ac:dyDescent="0.25">
      <c r="A21" s="4" t="s">
        <v>6</v>
      </c>
      <c r="B21" s="4" t="s">
        <v>69</v>
      </c>
      <c r="C21" s="4" t="s">
        <v>70</v>
      </c>
      <c r="D21" s="4" t="s">
        <v>71</v>
      </c>
      <c r="E21" s="4" t="s">
        <v>72</v>
      </c>
    </row>
    <row r="22" spans="1:5" ht="45" customHeight="1" x14ac:dyDescent="0.25">
      <c r="A22" s="12" t="s">
        <v>10</v>
      </c>
      <c r="B22" s="17" t="str">
        <f>B5 &amp; " pts (" &amp; TEXT(B5/25, "0%") &amp; ") - " &amp; IF(B5&gt;=18, "Alto", IF(B5&gt;=14, "Medio", "Bajo"))</f>
        <v>17 pts (68%) - Medio</v>
      </c>
      <c r="C22" s="18" t="str">
        <f>IF(B5&gt;=18, "Alto: Muestras una destacada curiosidad intelectual, gusto por la innovación y facilidad para adaptarte a cambios y nuevos modelos de trabajo.", IF(B5&gt;=14, "Medio: Muestras un equilibrio práctico entre la apertura a nuevas ideas y la preferencia por métodos tradicionales consolidados.", "Bajo: Prefieres procedimientos claros, rutinas estables y métodos probados. Destacas por tu pragmatismo y enfoque realista."))</f>
        <v>Medio: Muestras un equilibrio práctico entre la apertura a nuevas ideas y la preferencia por métodos tradicionales consolidados.</v>
      </c>
      <c r="D22" s="18" t="str">
        <f>IF(B5&gt;=18, "Pensamiento fuera de la caja, diseño de propuestas creativas, adaptabilidad e inclinación interdisciplinaria.", IF(B5&gt;=14, "Aceptación ponderada de la innovación, flexibilidad moderada y criterio práctico.", "Consistencia, apego a procesos validados, pragmatismo y estabilidad en la ejecución."))</f>
        <v>Aceptación ponderada de la innovación, flexibilidad moderada y criterio práctico.</v>
      </c>
      <c r="E22" s="18" t="str">
        <f>IF(B5&gt;=18, "Mantener el rigor metodológico en la ejecución para no dispersar el enfoque en demasiadas ideas.", IF(B5&gt;=14, "Explorar proactivamente nuevas herramientas o metodologías para potenciar la innovación personal.", "Practicar la apertura a cambios organizacionales y experimentar con nuevas metodologías de trabajo."))</f>
        <v>Explorar proactivamente nuevas herramientas o metodologías para potenciar la innovación personal.</v>
      </c>
    </row>
    <row r="23" spans="1:5" ht="45" customHeight="1" x14ac:dyDescent="0.25">
      <c r="A23" s="15" t="s">
        <v>16</v>
      </c>
      <c r="B23" s="17" t="str">
        <f>B6 &amp; " pts (" &amp; TEXT(B6/25, "0%") &amp; ") - " &amp; IF(B6&gt;=18, "Alto", IF(B6&gt;=14, "Medio", "Bajo"))</f>
        <v>16 pts (64%) - Medio</v>
      </c>
      <c r="C23" s="19" t="str">
        <f>IF(B6&gt;=18, "Alto: Muestras un alto nivel de autodisciplina, organización rigurosa, atención al detalle y enfoque constante en el logro de metas.", IF(B6&gt;=14, "Medio: Mantienes un nivel funcional de organización y cumplimiento, ajustando tu rigor según las exigencias del proyecto.", "Bajo: Muestras preferencia por la espontaneidad y la flexibilidad sobre la estructuración rígida de tiempos y procesos."))</f>
        <v>Medio: Mantienes un nivel funcional de organización y cumplimiento, ajustando tu rigor según las exigencias del proyecto.</v>
      </c>
      <c r="D23" s="19" t="str">
        <f>IF(B6&gt;=18, "Meticulosidad contable/financiera, planificación estratégica, puntualidad y cumplimiento de altos estándares.", IF(B6&gt;=14, "Cumplimiento confiable de tareas, equilibrio entre estructura y adaptabilidad.", "Flexibilidad, respuesta rápida ante contingencias sin sobrecargarse de rigidez."))</f>
        <v>Cumplimiento confiable de tareas, equilibrio entre estructura y adaptabilidad.</v>
      </c>
      <c r="E23" s="19" t="str">
        <f>IF(B6&gt;=18, "Evitar el perfeccionismo paralizante y aprender a delegar tareas secundarias con confianza.", IF(B6&gt;=14, "Reforzar herramientas formales de gestión del tiempo (agendas, cronogramas, listas de verificación).", "Implementar sistemas externos de seguimiento (agendas, recordatorios) para garantizar la puntualidad y precisión."))</f>
        <v>Reforzar herramientas formales de gestión del tiempo (agendas, cronogramas, listas de verificación).</v>
      </c>
    </row>
    <row r="24" spans="1:5" ht="45" customHeight="1" x14ac:dyDescent="0.25">
      <c r="A24" s="12" t="s">
        <v>22</v>
      </c>
      <c r="B24" s="17" t="str">
        <f>B7 &amp; " pts (" &amp; TEXT(B7/25, "0%") &amp; ") - " &amp; IF(B7&gt;=18, "Alto", IF(B7&gt;=14, "Medio", "Bajo"))</f>
        <v>19 pts (76%) - Alto</v>
      </c>
      <c r="C24" s="18" t="str">
        <f>IF(B7&gt;=18, "Alto: Posees alta energía social, facilidad de palabra, inclinación al liderazgo y entusiasmo en entornos colaborativos y dinámicos.", IF(B7&gt;=14, "Medio (Ambivertido): Te desenvuelves con comodidad tanto en reuniones sociales como en trabajos individuales de concentración.", "Bajo (Introvertido): Prefieres el trabajo autónomo, la reflexión analítica profunda y entornos con baja estimulación social directa."))</f>
        <v>Alto: Posees alta energía social, facilidad de palabra, inclinación al liderazgo y entusiasmo en entornos colaborativos y dinámicos.</v>
      </c>
      <c r="D24" s="18" t="str">
        <f>IF(B7&gt;=18, "Liderazgo de equipos, negociación asertiva, facilitación de acuerdos y networking estratégico.", IF(B7&gt;=14, "Versatilidad para alternar entre roles sociales de frente al cliente y tareas de análisis técnico.", "Capacidad de escucha atenta, análisis concentrado, rigor técnico y trabajo independiente efectivo."))</f>
        <v>Liderazgo de equipos, negociación asertiva, facilitación de acuerdos y networking estratégico.</v>
      </c>
      <c r="E24" s="18" t="str">
        <f>IF(B7&gt;=18, "Desarrollar habilidades de escucha activa y permitir que miembros más reservados compartan sus ideas.", IF(B7&gt;=14, "Identificar en qué momentos se requiere mayor proactividad social según la especialidad elegida.", "Practicar la exposición verbal en grupos pequeños y comunicar asertivamente tus hallazgos técnicos."))</f>
        <v>Desarrollar habilidades de escucha activa y permitir que miembros más reservados compartan sus ideas.</v>
      </c>
    </row>
    <row r="25" spans="1:5" ht="45" customHeight="1" x14ac:dyDescent="0.25">
      <c r="A25" s="15" t="s">
        <v>28</v>
      </c>
      <c r="B25" s="17" t="str">
        <f>B8 &amp; " pts (" &amp; TEXT(B8/25, "0%") &amp; ") - " &amp; IF(B8&gt;=18, "Alto", IF(B8&gt;=14, "Medio", "Bajo"))</f>
        <v>18 pts (72%) - Alto</v>
      </c>
      <c r="C25" s="19" t="str">
        <f>IF(B8&gt;=18, "Alto: Destacas por tu alta empatía, vocación de servicio, mediación de conflictos y prioridad por la armonía y cohesión del equipo.", IF(B8&gt;=14, "Medio: Muestras disposición a la colaboración y apoyo mutuo, manteniendo la firmeza cuando las circunstancias lo exigen.", "Bajo: Mantienes un enfoque competitivo, directo y analítico, priorizando la objetividad y el debate crítico sobre la complacencia."))</f>
        <v>Alto: Destacas por tu alta empatía, vocación de servicio, mediación de conflictos y prioridad por la armonía y cohesión del equipo.</v>
      </c>
      <c r="D25" s="19" t="str">
        <f>IF(B8&gt;=18, "Gestión de relaciones interpersonales, clima laboral favorable, trabajo en equipo y empatía con clientes/colaboradores.", IF(B8&gt;=14, "Trato profesional respetuoso, capacidad de negociación justa y trabajo en equipo equilibrado.", "Independencia de criterio, capacidad de cuestionamiento crítico, objetividad en evaluaciones e imparcialidad."))</f>
        <v>Gestión de relaciones interpersonales, clima laboral favorable, trabajo en equipo y empatía con clientes/colaboradores.</v>
      </c>
      <c r="E25" s="19" t="str">
        <f>IF(B8&gt;=18, "Aprender a tomar decisiones objetivas o difíciles (como evaluaciones o recortes) sin caer en la complacencia.", IF(B8&gt;=14, "Fortalecer habilidades de diplomacia y asertividad según las dinámicas del equipo.", "Desarrollar la empatía e inteligencia emocional para evitar que el estilo directo sea percibido como confrontativo."))</f>
        <v>Aprender a tomar decisiones objetivas o difíciles (como evaluaciones o recortes) sin caer en la complacencia.</v>
      </c>
    </row>
    <row r="26" spans="1:5" ht="45" customHeight="1" x14ac:dyDescent="0.25">
      <c r="A26" s="12" t="s">
        <v>34</v>
      </c>
      <c r="B26" s="17" t="str">
        <f>B9 &amp; " pts (" &amp; TEXT(B9/25, "0%") &amp; ") - " &amp; IF(B9&gt;=18, "Alto", IF(B9&gt;=14, "Medio", "Bajo"))</f>
        <v>20 pts (80%) - Alto</v>
      </c>
      <c r="C26" s="18" t="str">
        <f>IF(B9&gt;=18, "Alto: Posees alta resiliencia, ecuanimidad bajo presión, templanza ante la incertidumbre y claridad analítica en momentos de crisis.", IF(B9&gt;=14, "Medio: Manejas adecuadamente el estrés académico y profesional habitual, aunque eventos extremos pueden afectar tu ritmo.", "Bajo: Muestras alta sensibilidad ante tensiones o imprevistos. Esta receptividad te ayuda a detectar riesgos que otros ignoran."))</f>
        <v>Alto: Posees alta resiliencia, ecuanimidad bajo presión, templanza ante la incertidumbre y claridad analítica en momentos de crisis.</v>
      </c>
      <c r="D26" s="18" t="str">
        <f>IF(B9&gt;=18, "Toma de decisiones objetiva bajo riesgo financiero, serenidad en crisis y alta tolerancia al estrés.", IF(B9&gt;=14, "Estabilidad general frente a la carga de trabajo diaria y capacidad de recuperación rápida.", "Sensibilidad para detectar errores potenciales, cautela en la gestión de riesgos y meticulosidad preventiva."))</f>
        <v>Toma de decisiones objetiva bajo riesgo financiero, serenidad en crisis y alta tolerancia al estrés.</v>
      </c>
      <c r="E26" s="18" t="str">
        <f>IF(B9&gt;=18, "Asegurarse de mantener la empatía hacia compañeros que experimenten niveles más altos de ansiedad bajo presión.", IF(B9&gt;=14, "Consolidar rutinas de despresurización y manejo del estrés para proyectos de larga duración.", "Practicar técnicas de autorregulación emocional, reestructuración cognitiva y gestión del estrés en picos de trabajo."))</f>
        <v>Asegurarse de mantener la empatía hacia compañeros que experimenten niveles más altos de ansiedad bajo presión.</v>
      </c>
    </row>
    <row r="28" spans="1:5" ht="21.95" customHeight="1" x14ac:dyDescent="0.25">
      <c r="A28" s="28" t="s">
        <v>73</v>
      </c>
      <c r="B28" s="26"/>
      <c r="C28" s="26"/>
      <c r="D28" s="26"/>
      <c r="E28" s="26"/>
    </row>
    <row r="29" spans="1:5" ht="30" x14ac:dyDescent="0.25">
      <c r="A29" s="4" t="s">
        <v>74</v>
      </c>
      <c r="B29" s="4" t="s">
        <v>75</v>
      </c>
      <c r="C29" s="4" t="s">
        <v>76</v>
      </c>
      <c r="D29" s="4" t="s">
        <v>77</v>
      </c>
      <c r="E29" s="4" t="s">
        <v>78</v>
      </c>
    </row>
    <row r="30" spans="1:5" ht="45" customHeight="1" x14ac:dyDescent="0.25">
      <c r="A30" s="20" t="str">
        <f>INDEX(A14:A18, MATCH(MAX(C14:C18), C14:C18, 0)) &amp; " (Especialidad Principal)"</f>
        <v>Negocios Internacionales (Especialidad Principal)</v>
      </c>
      <c r="B30" s="17" t="str">
        <f>TEXT(MAX(C14:C18), "0.0%") &amp; " - " &amp; IF(MAX(C14:C18)&gt;=0.76, "Alta Afinidad", IF(MAX(C14:C18)&gt;=0.56, "Afinidad Media", "Desarrollo Requerido"))</f>
        <v>74.7% - Afinidad Media</v>
      </c>
      <c r="C30" s="21" t="str">
        <f>"Tu perfil de personalidad presenta la mayor compatibilidad natural con el campo de " &amp; INDEX(A14:A18, MATCH(MAX(C14:C18), C14:C18, 0)) &amp; ". Tus fortalezas de conducta te brindan una ventaja inicial en las exigencias de este campo."</f>
        <v>Tu perfil de personalidad presenta la mayor compatibilidad natural con el campo de Negocios Internacionales. Tus fortalezas de conducta te brindan una ventaja inicial en las exigencias de este campo.</v>
      </c>
      <c r="D30" s="21" t="str">
        <f>"Aprovechar tus rasgos destacados en " &amp; INDEX(B14:B18, MATCH(MAX(C14:C18), C14:C18, 0)) &amp; " para destacar en proyectos prácticos y casos de estudio de la especialidad."</f>
        <v>Aprovechar tus rasgos destacados en Apertura + Estabilidad + Extraversión para destacar en proyectos prácticos y casos de estudio de la especialidad.</v>
      </c>
      <c r="E30" s="21" t="str">
        <f>"Inscribir asignaturas optativas del campo de " &amp; INDEX(A14:A18, MATCH(MAX(C14:C18), C14:C18, 0)) &amp; " y revisar la Guía de Campos Formativos (Pestaña 3) para planificar tu itinerario escolar."</f>
        <v>Inscribir asignaturas optativas del campo de Negocios Internacionales y revisar la Guía de Campos Formativos (Pestaña 3) para planificar tu itinerario escolar.</v>
      </c>
    </row>
    <row r="31" spans="1:5" ht="45" customHeight="1" x14ac:dyDescent="0.25">
      <c r="A31" s="12" t="s">
        <v>53</v>
      </c>
      <c r="B31" s="22">
        <f>C14</f>
        <v>0.72</v>
      </c>
      <c r="C31" s="18" t="str">
        <f>IF(C14&gt;=0.76, "Alta Afinidad: Tu combinación de Apertura y Extraversión te permite destacar en innovación de productos, estrategias publicitarias e investigación del consumidor.", IF(C14&gt;=0.56, "Afinidad Media: Cuentas con elementos conductuales adecuados para Mercadotecnia; potencia tu creatividad o tu interacción social según se requiera.", "Desarrollo Requerido: Para desempeñarte en Mercadotecnia deberás hacer un esfuerzo consciente en dinamismo social y pensamiento creativo."))</f>
        <v>Afinidad Media: Cuentas con elementos conductuales adecuados para Mercadotecnia; potencia tu creatividad o tu interacción social según se requiera.</v>
      </c>
      <c r="D31" s="18" t="s">
        <v>79</v>
      </c>
      <c r="E31" s="18" t="s">
        <v>80</v>
      </c>
    </row>
    <row r="32" spans="1:5" ht="45" customHeight="1" x14ac:dyDescent="0.25">
      <c r="A32" s="15" t="s">
        <v>56</v>
      </c>
      <c r="B32" s="22">
        <f>C15</f>
        <v>0.74</v>
      </c>
      <c r="C32" s="19" t="str">
        <f>IF(C15&gt;=0.76, "Alta Afinidad: Tu alta Amabilidad y Extraversión te posicionan idealmente para la gestión del talento, liderazgo relacional y mediación organizacional.", IF(C15&gt;=0.56, "Afinidad Media: Posees buen potencial para la gestión de equipos; equilibra tu empatía con herramientas de evaluación objetiva.", "Desarrollo Requerido: Requiere fortalecer tus competencias relacionales y de empatía para la gestión efectiva de grupos de trabajo."))</f>
        <v>Afinidad Media: Posees buen potencial para la gestión de equipos; equilibra tu empatía con herramientas de evaluación objetiva.</v>
      </c>
      <c r="D32" s="19" t="s">
        <v>81</v>
      </c>
      <c r="E32" s="19" t="s">
        <v>82</v>
      </c>
    </row>
    <row r="33" spans="1:5" ht="45" customHeight="1" x14ac:dyDescent="0.25">
      <c r="A33" s="12" t="s">
        <v>59</v>
      </c>
      <c r="B33" s="22">
        <f>C16</f>
        <v>0.72</v>
      </c>
      <c r="C33" s="18" t="str">
        <f>IF(C16&gt;=0.76, "Alta Afinidad: Tu elevada Responsabilidad y Estabilidad Emocional garantizan rigor cuantitativo, autodisciplina y serenidad en decisiones financieras bajo riesgo.", IF(C16&gt;=0.56, "Afinidad Media: Cuentas con bases para la gestión financiera; asegura la disciplina en el control de datos y presupuestos.", "Desarrollo Requerido: Requiere un esfuerzo adicional en meticulosidad, control contable y tolerancia al estrés de los mercados."))</f>
        <v>Afinidad Media: Cuentas con bases para la gestión financiera; asegura la disciplina en el control de datos y presupuestos.</v>
      </c>
      <c r="D33" s="18" t="s">
        <v>83</v>
      </c>
      <c r="E33" s="18" t="s">
        <v>84</v>
      </c>
    </row>
    <row r="34" spans="1:5" ht="45" customHeight="1" x14ac:dyDescent="0.25">
      <c r="A34" s="15" t="s">
        <v>62</v>
      </c>
      <c r="B34" s="22">
        <f>C17</f>
        <v>0.7466666666666667</v>
      </c>
      <c r="C34" s="19" t="str">
        <f>IF(C17&gt;=0.76, "Alta Afinidad: Tu perfil equilibrado de Apertura, Estabilidad y Extraversión te otorga inteligencia cultural, adaptabilidad global y capacidad negociadora.", IF(C17&gt;=0.56, "Afinidad Media: Presentas buena disposición para el entorno internacional; refuerza el conocimiento aduanero y contractual.", "Desarrollo Requerido: Deberás trabajar en tu tolerancia a la ambigüedad y habilidades de comunicación multicultural."))</f>
        <v>Afinidad Media: Presentas buena disposición para el entorno internacional; refuerza el conocimiento aduanero y contractual.</v>
      </c>
      <c r="D34" s="19" t="s">
        <v>85</v>
      </c>
      <c r="E34" s="19" t="s">
        <v>86</v>
      </c>
    </row>
    <row r="35" spans="1:5" ht="45" customHeight="1" x14ac:dyDescent="0.25">
      <c r="A35" s="12" t="s">
        <v>65</v>
      </c>
      <c r="B35" s="22">
        <f>C18</f>
        <v>0.70666666666666667</v>
      </c>
      <c r="C35" s="18" t="str">
        <f>IF(C18&gt;=0.76, "Alta Afinidad: Muestras la visión de oportunidad, autodisciplina ejecutiva y tolerancia al fracaso necesarias para estructurar y escalar nuevos negocios.", IF(C18&gt;=0.56, "Afinidad Media: Posees espíritu emprendedor; te beneficiarás de asociarte con perfiles complementarios en áreas operativas.", "Desarrollo Requerido: Recomienda cultivar la resiliencia ante la incertidumbre y la perseverancia en proyectos de largo plazo."))</f>
        <v>Afinidad Media: Posees espíritu emprendedor; te beneficiarás de asociarte con perfiles complementarios en áreas operativas.</v>
      </c>
      <c r="D35" s="18" t="s">
        <v>87</v>
      </c>
      <c r="E35" s="18" t="s">
        <v>88</v>
      </c>
    </row>
  </sheetData>
  <mergeCells count="5">
    <mergeCell ref="A12:E12"/>
    <mergeCell ref="A20:E20"/>
    <mergeCell ref="A28:E28"/>
    <mergeCell ref="A1:E1"/>
    <mergeCell ref="A3:E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9.140625" defaultRowHeight="15" x14ac:dyDescent="0.25"/>
  <cols>
    <col min="1" max="1" width="28" customWidth="1"/>
    <col min="2" max="2" width="30" customWidth="1"/>
    <col min="3" max="4" width="45" customWidth="1"/>
  </cols>
  <sheetData>
    <row r="1" spans="1:4" ht="27.95" customHeight="1" x14ac:dyDescent="0.25">
      <c r="A1" s="27" t="s">
        <v>89</v>
      </c>
      <c r="B1" s="26"/>
      <c r="C1" s="26"/>
      <c r="D1" s="26"/>
    </row>
    <row r="3" spans="1:4" x14ac:dyDescent="0.25">
      <c r="A3" s="4" t="s">
        <v>48</v>
      </c>
      <c r="B3" s="4" t="s">
        <v>90</v>
      </c>
      <c r="C3" s="4" t="s">
        <v>91</v>
      </c>
      <c r="D3" s="4" t="s">
        <v>92</v>
      </c>
    </row>
    <row r="4" spans="1:4" ht="45" x14ac:dyDescent="0.25">
      <c r="A4" s="12" t="s">
        <v>53</v>
      </c>
      <c r="B4" s="23" t="s">
        <v>93</v>
      </c>
      <c r="C4" s="18" t="s">
        <v>94</v>
      </c>
      <c r="D4" s="18" t="s">
        <v>95</v>
      </c>
    </row>
    <row r="5" spans="1:4" ht="45" x14ac:dyDescent="0.25">
      <c r="A5" s="15" t="s">
        <v>56</v>
      </c>
      <c r="B5" s="24" t="s">
        <v>96</v>
      </c>
      <c r="C5" s="19" t="s">
        <v>97</v>
      </c>
      <c r="D5" s="19" t="s">
        <v>98</v>
      </c>
    </row>
    <row r="6" spans="1:4" ht="45" x14ac:dyDescent="0.25">
      <c r="A6" s="12" t="s">
        <v>59</v>
      </c>
      <c r="B6" s="23" t="s">
        <v>99</v>
      </c>
      <c r="C6" s="18" t="s">
        <v>100</v>
      </c>
      <c r="D6" s="18" t="s">
        <v>101</v>
      </c>
    </row>
    <row r="7" spans="1:4" ht="45" x14ac:dyDescent="0.25">
      <c r="A7" s="15" t="s">
        <v>62</v>
      </c>
      <c r="B7" s="24" t="s">
        <v>102</v>
      </c>
      <c r="C7" s="19" t="s">
        <v>103</v>
      </c>
      <c r="D7" s="19" t="s">
        <v>104</v>
      </c>
    </row>
    <row r="8" spans="1:4" ht="45" x14ac:dyDescent="0.25">
      <c r="A8" s="12" t="s">
        <v>65</v>
      </c>
      <c r="B8" s="23" t="s">
        <v>105</v>
      </c>
      <c r="C8" s="18" t="s">
        <v>106</v>
      </c>
      <c r="D8" s="18" t="s">
        <v>107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 y Respuestas</vt:lpstr>
      <vt:lpstr>Resultados y Diagnóstico</vt:lpstr>
      <vt:lpstr>Guía Campos Formativos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	 Orozco Blas FDCS</cp:lastModifiedBy>
  <dcterms:created xsi:type="dcterms:W3CDTF">2026-10-15T01:44:38Z</dcterms:created>
  <dcterms:modified xsi:type="dcterms:W3CDTF">2026-10-15T02:03:42Z</dcterms:modified>
</cp:coreProperties>
</file>