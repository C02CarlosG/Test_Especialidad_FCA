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y Respuestas" sheetId="1" state="visible" r:id="rId1"/>
    <sheet xmlns:r="http://schemas.openxmlformats.org/officeDocument/2006/relationships" name="Resultados y Diagnóstico" sheetId="2" state="visible" r:id="rId2"/>
    <sheet xmlns:r="http://schemas.openxmlformats.org/officeDocument/2006/relationships" name="Guía Campos Forma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2F4F8"/>
        <bgColor rgb="00F2F4F8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7" fillId="6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Perfil de Personalidad Big Five (% de Desarrollo)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'Resultados y Diagnóstico'!C4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 y Diagnóstico'!$A$5:$A$9</f>
            </numRef>
          </cat>
          <val>
            <numRef>
              <f>'Resultados y Diagnóstico'!$C$5:$C$9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Dimensiones OCEAN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75" customWidth="1" min="3" max="3"/>
    <col width="18" customWidth="1" min="4" max="4"/>
    <col width="14" customWidth="1" min="5" max="5"/>
  </cols>
  <sheetData>
    <row r="1" ht="28" customHeight="1">
      <c r="A1" s="1" t="inlineStr">
        <is>
          <t>FACULTAD DE CONTADURÍA Y ADMINISTRACIÓN - UNAM</t>
        </is>
      </c>
    </row>
    <row r="2" ht="20" customHeight="1">
      <c r="A2" s="2" t="inlineStr">
        <is>
          <t>EVALUACIÓN DE PERSONALIDAD BIG FIVE (OCEAN) PARA ELECCIÓN DE CAMPOS FORMATIVOS</t>
        </is>
      </c>
    </row>
    <row r="4">
      <c r="A4" s="3" t="inlineStr">
        <is>
          <t>INSTRUCCIONES DE APLICACIÓN:</t>
        </is>
      </c>
    </row>
    <row r="5">
      <c r="A5" s="4" t="inlineStr">
        <is>
          <t>Evalúa cada afirmación indicando qué tan identificado/a te sientes en tu desempeño académico y profesional. Selecciona en la Columna 'Respuesta' un número del 1 al 5.</t>
        </is>
      </c>
    </row>
    <row r="6">
      <c r="A6" s="5" t="inlineStr">
        <is>
          <t>1 = Totalmente en desacuerdo | 2 = En desacuerdo | 3 = Neutral | 4 = De acuerdo | 5 = Totalmente de acuerdo</t>
        </is>
      </c>
    </row>
    <row r="8" ht="24" customHeight="1">
      <c r="A8" s="6" t="inlineStr">
        <is>
          <t>#</t>
        </is>
      </c>
      <c r="B8" s="6" t="inlineStr">
        <is>
          <t>Dimensión OCEAN</t>
        </is>
      </c>
      <c r="C8" s="6" t="inlineStr">
        <is>
          <t>Afirmación / Reactivo</t>
        </is>
      </c>
      <c r="D8" s="6" t="inlineStr">
        <is>
          <t>Respuesta (1-5)</t>
        </is>
      </c>
      <c r="E8" s="6" t="inlineStr">
        <is>
          <t>Estado</t>
        </is>
      </c>
    </row>
    <row r="9" ht="26" customHeight="1">
      <c r="A9" s="7" t="n">
        <v>1</v>
      </c>
      <c r="B9" s="8" t="inlineStr">
        <is>
          <t>Apertura a la Experiencia</t>
        </is>
      </c>
      <c r="C9" s="8" t="inlineStr">
        <is>
          <t>Disfruto proponiendo ideas creativas para resolver problemas o diseñar proyectos nuevos en mis materias.</t>
        </is>
      </c>
      <c r="D9" s="9" t="n">
        <v>3</v>
      </c>
      <c r="E9" s="10">
        <f>IF(ISBLANK(D9), "Pendiente", "Respondido")</f>
        <v/>
      </c>
    </row>
    <row r="10" ht="26" customHeight="1">
      <c r="A10" s="11" t="n">
        <v>2</v>
      </c>
      <c r="B10" s="12" t="inlineStr">
        <is>
          <t>Apertura a la Experiencia</t>
        </is>
      </c>
      <c r="C10" s="12" t="inlineStr">
        <is>
          <t>Me interesa explorar constantemente nuevas tendencias de mercado, tecnología o modelos de negocio.</t>
        </is>
      </c>
      <c r="D10" s="9" t="n">
        <v>3</v>
      </c>
      <c r="E10" s="13">
        <f>IF(ISBLANK(D10), "Pendiente", "Respondido")</f>
        <v/>
      </c>
    </row>
    <row r="11" ht="26" customHeight="1">
      <c r="A11" s="7" t="n">
        <v>3</v>
      </c>
      <c r="B11" s="8" t="inlineStr">
        <is>
          <t>Apertura a la Experiencia</t>
        </is>
      </c>
      <c r="C11" s="8" t="inlineStr">
        <is>
          <t>Prefiero tareas académicas que requieran innovación y pensamiento fuera de lo convencional.</t>
        </is>
      </c>
      <c r="D11" s="9" t="n">
        <v>3</v>
      </c>
      <c r="E11" s="10">
        <f>IF(ISBLANK(D11), "Pendiente", "Respondido")</f>
        <v/>
      </c>
    </row>
    <row r="12" ht="26" customHeight="1">
      <c r="A12" s="11" t="n">
        <v>4</v>
      </c>
      <c r="B12" s="12" t="inlineStr">
        <is>
          <t>Apertura a la Experiencia</t>
        </is>
      </c>
      <c r="C12" s="12" t="inlineStr">
        <is>
          <t>Me adapto con facilidad a entornos de trabajo cambiantes o proyectos con alta incertidumbre.</t>
        </is>
      </c>
      <c r="D12" s="9" t="n">
        <v>3</v>
      </c>
      <c r="E12" s="13">
        <f>IF(ISBLANK(D12), "Pendiente", "Respondido")</f>
        <v/>
      </c>
    </row>
    <row r="13" ht="26" customHeight="1">
      <c r="A13" s="7" t="n">
        <v>5</v>
      </c>
      <c r="B13" s="8" t="inlineStr">
        <is>
          <t>Apertura a la Experiencia</t>
        </is>
      </c>
      <c r="C13" s="8" t="inlineStr">
        <is>
          <t>Me atrae aprender sobre temas interdisciplinarios fuera de mi zona de confort profesional.</t>
        </is>
      </c>
      <c r="D13" s="9" t="n">
        <v>3</v>
      </c>
      <c r="E13" s="10">
        <f>IF(ISBLANK(D13), "Pendiente", "Respondido")</f>
        <v/>
      </c>
    </row>
    <row r="14" ht="26" customHeight="1">
      <c r="A14" s="11" t="n">
        <v>6</v>
      </c>
      <c r="B14" s="12" t="inlineStr">
        <is>
          <t>Responsabilidad / Tesón</t>
        </is>
      </c>
      <c r="C14" s="12" t="inlineStr">
        <is>
          <t>Soy muy organizado/a y entrego mis trabajos y proyectos con exactitud antes de la fecha límite.</t>
        </is>
      </c>
      <c r="D14" s="9" t="n">
        <v>3</v>
      </c>
      <c r="E14" s="13">
        <f>IF(ISBLANK(D14), "Pendiente", "Respondido")</f>
        <v/>
      </c>
    </row>
    <row r="15" ht="26" customHeight="1">
      <c r="A15" s="7" t="n">
        <v>7</v>
      </c>
      <c r="B15" s="8" t="inlineStr">
        <is>
          <t>Responsabilidad / Tesón</t>
        </is>
      </c>
      <c r="C15" s="8" t="inlineStr">
        <is>
          <t>Me enfoco en mantener un control riguroso sobre datos, presupuestos, procedimientos o normas.</t>
        </is>
      </c>
      <c r="D15" s="9" t="n">
        <v>3</v>
      </c>
      <c r="E15" s="10">
        <f>IF(ISBLANK(D15), "Pendiente", "Respondido")</f>
        <v/>
      </c>
    </row>
    <row r="16" ht="26" customHeight="1">
      <c r="A16" s="11" t="n">
        <v>8</v>
      </c>
      <c r="B16" s="12" t="inlineStr">
        <is>
          <t>Responsabilidad / Tesón</t>
        </is>
      </c>
      <c r="C16" s="12" t="inlineStr">
        <is>
          <t>Establezco metas profesionales claras a largo plazo y muestro alta autodisciplina para alcanzarlas.</t>
        </is>
      </c>
      <c r="D16" s="9" t="n">
        <v>3</v>
      </c>
      <c r="E16" s="13">
        <f>IF(ISBLANK(D16), "Pendiente", "Respondido")</f>
        <v/>
      </c>
    </row>
    <row r="17" ht="26" customHeight="1">
      <c r="A17" s="7" t="n">
        <v>9</v>
      </c>
      <c r="B17" s="8" t="inlineStr">
        <is>
          <t>Responsabilidad / Tesón</t>
        </is>
      </c>
      <c r="C17" s="8" t="inlineStr">
        <is>
          <t>Verifico cuidadosamente la precisión de la información o cifras antes de tomar una decisión.</t>
        </is>
      </c>
      <c r="D17" s="9" t="n">
        <v>3</v>
      </c>
      <c r="E17" s="10">
        <f>IF(ISBLANK(D17), "Pendiente", "Respondido")</f>
        <v/>
      </c>
    </row>
    <row r="18" ht="26" customHeight="1">
      <c r="A18" s="11" t="n">
        <v>10</v>
      </c>
      <c r="B18" s="12" t="inlineStr">
        <is>
          <t>Responsabilidad / Tesón</t>
        </is>
      </c>
      <c r="C18" s="12" t="inlineStr">
        <is>
          <t>Sigo metodologías y estructuras de trabajo bien definidas para garantizar la calidad en mis entregas.</t>
        </is>
      </c>
      <c r="D18" s="9" t="n">
        <v>3</v>
      </c>
      <c r="E18" s="13">
        <f>IF(ISBLANK(D18), "Pendiente", "Respondido")</f>
        <v/>
      </c>
    </row>
    <row r="19" ht="26" customHeight="1">
      <c r="A19" s="7" t="n">
        <v>11</v>
      </c>
      <c r="B19" s="8" t="inlineStr">
        <is>
          <t>Extraversión</t>
        </is>
      </c>
      <c r="C19" s="8" t="inlineStr">
        <is>
          <t>Me siento lleno/a de energía al dirigir reuniones, negociar o hablar ante un público o comité.</t>
        </is>
      </c>
      <c r="D19" s="9" t="n">
        <v>3</v>
      </c>
      <c r="E19" s="10">
        <f>IF(ISBLANK(D19), "Pendiente", "Respondido")</f>
        <v/>
      </c>
    </row>
    <row r="20" ht="26" customHeight="1">
      <c r="A20" s="11" t="n">
        <v>12</v>
      </c>
      <c r="B20" s="12" t="inlineStr">
        <is>
          <t>Extraversión</t>
        </is>
      </c>
      <c r="C20" s="12" t="inlineStr">
        <is>
          <t>Busco activamente oportunidades para hacer networking y establecer nuevas relaciones estratégicas.</t>
        </is>
      </c>
      <c r="D20" s="9" t="n">
        <v>3</v>
      </c>
      <c r="E20" s="13">
        <f>IF(ISBLANK(D20), "Pendiente", "Respondido")</f>
        <v/>
      </c>
    </row>
    <row r="21" ht="26" customHeight="1">
      <c r="A21" s="7" t="n">
        <v>13</v>
      </c>
      <c r="B21" s="8" t="inlineStr">
        <is>
          <t>Extraversión</t>
        </is>
      </c>
      <c r="C21" s="8" t="inlineStr">
        <is>
          <t>Expreso mis opiniones de forma asertiva en debates de equipo o al defender una postura.</t>
        </is>
      </c>
      <c r="D21" s="9" t="n">
        <v>3</v>
      </c>
      <c r="E21" s="10">
        <f>IF(ISBLANK(D21), "Pendiente", "Respondido")</f>
        <v/>
      </c>
    </row>
    <row r="22" ht="26" customHeight="1">
      <c r="A22" s="11" t="n">
        <v>14</v>
      </c>
      <c r="B22" s="12" t="inlineStr">
        <is>
          <t>Extraversión</t>
        </is>
      </c>
      <c r="C22" s="12" t="inlineStr">
        <is>
          <t>Disfruto coordinar eventos, campañas o actividades dinámicas que involucren a muchas personas.</t>
        </is>
      </c>
      <c r="D22" s="9" t="n">
        <v>3</v>
      </c>
      <c r="E22" s="13">
        <f>IF(ISBLANK(D22), "Pendiente", "Respondido")</f>
        <v/>
      </c>
    </row>
    <row r="23" ht="26" customHeight="1">
      <c r="A23" s="7" t="n">
        <v>15</v>
      </c>
      <c r="B23" s="8" t="inlineStr">
        <is>
          <t>Extraversión</t>
        </is>
      </c>
      <c r="C23" s="8" t="inlineStr">
        <is>
          <t>Prefiero entornos de trabajo acelerados con constante interacción social sobre el trabajo aislado.</t>
        </is>
      </c>
      <c r="D23" s="9" t="n">
        <v>3</v>
      </c>
      <c r="E23" s="10">
        <f>IF(ISBLANK(D23), "Pendiente", "Respondido")</f>
        <v/>
      </c>
    </row>
    <row r="24" ht="26" customHeight="1">
      <c r="A24" s="11" t="n">
        <v>16</v>
      </c>
      <c r="B24" s="12" t="inlineStr">
        <is>
          <t>Amabilidad / Cordialidad</t>
        </is>
      </c>
      <c r="C24" s="12" t="inlineStr">
        <is>
          <t>Procuro entender las necesidades y emociones de mis compañeros para mantener la cohesión del equipo.</t>
        </is>
      </c>
      <c r="D24" s="9" t="n">
        <v>3</v>
      </c>
      <c r="E24" s="13">
        <f>IF(ISBLANK(D24), "Pendiente", "Respondido")</f>
        <v/>
      </c>
    </row>
    <row r="25" ht="26" customHeight="1">
      <c r="A25" s="7" t="n">
        <v>17</v>
      </c>
      <c r="B25" s="8" t="inlineStr">
        <is>
          <t>Amabilidad / Cordialidad</t>
        </is>
      </c>
      <c r="C25" s="8" t="inlineStr">
        <is>
          <t>Me resulta natural actuar como mediador/a en conflictos y promover acuerdos cooperativos.</t>
        </is>
      </c>
      <c r="D25" s="9" t="n">
        <v>3</v>
      </c>
      <c r="E25" s="10">
        <f>IF(ISBLANK(D25), "Pendiente", "Respondido")</f>
        <v/>
      </c>
    </row>
    <row r="26" ht="26" customHeight="1">
      <c r="A26" s="11" t="n">
        <v>18</v>
      </c>
      <c r="B26" s="12" t="inlineStr">
        <is>
          <t>Amabilidad / Cordialidad</t>
        </is>
      </c>
      <c r="C26" s="12" t="inlineStr">
        <is>
          <t>Disfruto orientar, capacitar y apoyar el desarrollo personal y profesional de otras personas.</t>
        </is>
      </c>
      <c r="D26" s="9" t="n">
        <v>3</v>
      </c>
      <c r="E26" s="13">
        <f>IF(ISBLANK(D26), "Pendiente", "Respondido")</f>
        <v/>
      </c>
    </row>
    <row r="27" ht="26" customHeight="1">
      <c r="A27" s="7" t="n">
        <v>19</v>
      </c>
      <c r="B27" s="8" t="inlineStr">
        <is>
          <t>Amabilidad / Cordialidad</t>
        </is>
      </c>
      <c r="C27" s="8" t="inlineStr">
        <is>
          <t>Priorizo el bienestar colectivo y el ambiente laboral sobre la competencia individual encarnizada.</t>
        </is>
      </c>
      <c r="D27" s="9" t="n">
        <v>3</v>
      </c>
      <c r="E27" s="10">
        <f>IF(ISBLANK(D27), "Pendiente", "Respondido")</f>
        <v/>
      </c>
    </row>
    <row r="28" ht="26" customHeight="1">
      <c r="A28" s="11" t="n">
        <v>20</v>
      </c>
      <c r="B28" s="12" t="inlineStr">
        <is>
          <t>Amabilidad / Cordialidad</t>
        </is>
      </c>
      <c r="C28" s="12" t="inlineStr">
        <is>
          <t>Escucho con apertura y empatía las preocupaciones o retroalimentación de los demás.</t>
        </is>
      </c>
      <c r="D28" s="9" t="n">
        <v>3</v>
      </c>
      <c r="E28" s="13">
        <f>IF(ISBLANK(D28), "Pendiente", "Respondido")</f>
        <v/>
      </c>
    </row>
    <row r="29" ht="26" customHeight="1">
      <c r="A29" s="7" t="n">
        <v>21</v>
      </c>
      <c r="B29" s="8" t="inlineStr">
        <is>
          <t>Estabilidad Emocional</t>
        </is>
      </c>
      <c r="C29" s="8" t="inlineStr">
        <is>
          <t>Mantengo la calma y la claridad analítica aun cuando trabajo bajo alta presión o plazos ajustados.</t>
        </is>
      </c>
      <c r="D29" s="9" t="n">
        <v>3</v>
      </c>
      <c r="E29" s="10">
        <f>IF(ISBLANK(D29), "Pendiente", "Respondido")</f>
        <v/>
      </c>
    </row>
    <row r="30" ht="26" customHeight="1">
      <c r="A30" s="11" t="n">
        <v>22</v>
      </c>
      <c r="B30" s="12" t="inlineStr">
        <is>
          <t>Estabilidad Emocional</t>
        </is>
      </c>
      <c r="C30" s="12" t="inlineStr">
        <is>
          <t>Manejo la incertidumbre financiera o las crisis imprevistas sin perder el enfoque ni la tranquilidad.</t>
        </is>
      </c>
      <c r="D30" s="9" t="n">
        <v>3</v>
      </c>
      <c r="E30" s="13">
        <f>IF(ISBLANK(D30), "Pendiente", "Respondido")</f>
        <v/>
      </c>
    </row>
    <row r="31" ht="26" customHeight="1">
      <c r="A31" s="7" t="n">
        <v>23</v>
      </c>
      <c r="B31" s="8" t="inlineStr">
        <is>
          <t>Estabilidad Emocional</t>
        </is>
      </c>
      <c r="C31" s="8" t="inlineStr">
        <is>
          <t>Reacciono con resiliencia ante los errores o críticas, utilizándolos como aprendizaje.</t>
        </is>
      </c>
      <c r="D31" s="9" t="n">
        <v>3</v>
      </c>
      <c r="E31" s="10">
        <f>IF(ISBLANK(D31), "Pendiente", "Respondido")</f>
        <v/>
      </c>
    </row>
    <row r="32" ht="26" customHeight="1">
      <c r="A32" s="11" t="n">
        <v>24</v>
      </c>
      <c r="B32" s="12" t="inlineStr">
        <is>
          <t>Estabilidad Emocional</t>
        </is>
      </c>
      <c r="C32" s="12" t="inlineStr">
        <is>
          <t>Rara vez me siento abrumado/a por el estrés de cargas académicas o laborales exigentes.</t>
        </is>
      </c>
      <c r="D32" s="9" t="n">
        <v>3</v>
      </c>
      <c r="E32" s="13">
        <f>IF(ISBLANK(D32), "Pendiente", "Respondido")</f>
        <v/>
      </c>
    </row>
    <row r="33" ht="26" customHeight="1">
      <c r="A33" s="7" t="n">
        <v>25</v>
      </c>
      <c r="B33" s="8" t="inlineStr">
        <is>
          <t>Estabilidad Emocional</t>
        </is>
      </c>
      <c r="C33" s="8" t="inlineStr">
        <is>
          <t>Tomo decisiones estratégicas de forma objetiva, separando el análisis racional de las emociones.</t>
        </is>
      </c>
      <c r="D33" s="9" t="n">
        <v>3</v>
      </c>
      <c r="E33" s="10">
        <f>IF(ISBLANK(D33), "Pendiente", "Respondido")</f>
        <v/>
      </c>
    </row>
  </sheetData>
  <mergeCells count="5">
    <mergeCell ref="A4:E4"/>
    <mergeCell ref="A2:E2"/>
    <mergeCell ref="A1:E1"/>
    <mergeCell ref="A5:E5"/>
    <mergeCell ref="A6:E6"/>
  </mergeCells>
  <dataValidations count="1">
    <dataValidation sqref="D9 D10 D11 D12 D13 D14 D15 D16 D17 D18 D19 D20 D21 D22 D23 D24 D25 D26 D27 D28 D29 D30 D31 D32 D3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65" customWidth="1" min="5" max="5"/>
  </cols>
  <sheetData>
    <row r="1" ht="28" customHeight="1">
      <c r="A1" s="1" t="inlineStr">
        <is>
          <t>DIAGNÓSTICO Y PERFIL DE PERSONALIDAD BIG FIVE</t>
        </is>
      </c>
    </row>
    <row r="3">
      <c r="A3" s="14" t="inlineStr">
        <is>
          <t>1. RESUMEN DE PUNTUACIONES POR DIMENSIÓN</t>
        </is>
      </c>
    </row>
    <row r="4">
      <c r="A4" s="6" t="inlineStr">
        <is>
          <t>Dimensión Big Five</t>
        </is>
      </c>
      <c r="B4" s="6" t="inlineStr">
        <is>
          <t>Puntaje Bruto (5-25)</t>
        </is>
      </c>
      <c r="C4" s="6" t="inlineStr">
        <is>
          <t>Porcentaje (%)</t>
        </is>
      </c>
      <c r="D4" s="6" t="inlineStr">
        <is>
          <t>Nivel de Rasgo</t>
        </is>
      </c>
      <c r="E4" s="6" t="inlineStr">
        <is>
          <t>Interpretación Básica</t>
        </is>
      </c>
    </row>
    <row r="5" ht="24" customHeight="1">
      <c r="A5" s="15" t="inlineStr">
        <is>
          <t>Apertura a la Experiencia</t>
        </is>
      </c>
      <c r="B5" s="16">
        <f>SUM('Test y Respuestas'!D9:D13)</f>
        <v/>
      </c>
      <c r="C5" s="17">
        <f>B5/25</f>
        <v/>
      </c>
      <c r="D5" s="7">
        <f>IF(B5&gt;=20, "Alto", IF(B5&gt;=14, "Medio", "Área de Desarrollo"))</f>
        <v/>
      </c>
      <c r="E5" s="8">
        <f>IF(B5&gt;=20, "Fortaleza Prominente", IF(B5&gt;=14, "Competencia Equilibrada", "Requiere Esfuerzo Consciente"))</f>
        <v/>
      </c>
    </row>
    <row r="6" ht="24" customHeight="1">
      <c r="A6" s="15" t="inlineStr">
        <is>
          <t>Responsabilidad / Tesón</t>
        </is>
      </c>
      <c r="B6" s="16">
        <f>SUM('Test y Respuestas'!D14:D18)</f>
        <v/>
      </c>
      <c r="C6" s="17">
        <f>B6/25</f>
        <v/>
      </c>
      <c r="D6" s="7">
        <f>IF(B6&gt;=20, "Alto", IF(B6&gt;=14, "Medio", "Área de Desarrollo"))</f>
        <v/>
      </c>
      <c r="E6" s="8">
        <f>IF(B6&gt;=20, "Fortaleza Prominente", IF(B6&gt;=14, "Competencia Equilibrada", "Requiere Esfuerzo Consciente"))</f>
        <v/>
      </c>
    </row>
    <row r="7" ht="24" customHeight="1">
      <c r="A7" s="15" t="inlineStr">
        <is>
          <t>Extraversión</t>
        </is>
      </c>
      <c r="B7" s="16">
        <f>SUM('Test y Respuestas'!D19:D23)</f>
        <v/>
      </c>
      <c r="C7" s="17">
        <f>B7/25</f>
        <v/>
      </c>
      <c r="D7" s="7">
        <f>IF(B7&gt;=20, "Alto", IF(B7&gt;=14, "Medio", "Área de Desarrollo"))</f>
        <v/>
      </c>
      <c r="E7" s="8">
        <f>IF(B7&gt;=20, "Fortaleza Prominente", IF(B7&gt;=14, "Competencia Equilibrada", "Requiere Esfuerzo Consciente"))</f>
        <v/>
      </c>
    </row>
    <row r="8" ht="24" customHeight="1">
      <c r="A8" s="15" t="inlineStr">
        <is>
          <t>Amabilidad / Cordialidad</t>
        </is>
      </c>
      <c r="B8" s="16">
        <f>SUM('Test y Respuestas'!D24:D28)</f>
        <v/>
      </c>
      <c r="C8" s="17">
        <f>B8/25</f>
        <v/>
      </c>
      <c r="D8" s="7">
        <f>IF(B8&gt;=20, "Alto", IF(B8&gt;=14, "Medio", "Área de Desarrollo"))</f>
        <v/>
      </c>
      <c r="E8" s="8">
        <f>IF(B8&gt;=20, "Fortaleza Prominente", IF(B8&gt;=14, "Competencia Equilibrada", "Requiere Esfuerzo Consciente"))</f>
        <v/>
      </c>
    </row>
    <row r="9" ht="24" customHeight="1">
      <c r="A9" s="15" t="inlineStr">
        <is>
          <t>Estabilidad Emocional</t>
        </is>
      </c>
      <c r="B9" s="16">
        <f>SUM('Test y Respuestas'!D29:D33)</f>
        <v/>
      </c>
      <c r="C9" s="17">
        <f>B9/25</f>
        <v/>
      </c>
      <c r="D9" s="7">
        <f>IF(B9&gt;=20, "Alto", IF(B9&gt;=14, "Medio", "Área de Desarrollo"))</f>
        <v/>
      </c>
      <c r="E9" s="8">
        <f>IF(B9&gt;=20, "Fortaleza Prominente", IF(B9&gt;=14, "Competencia Equilibrada", "Requiere Esfuerzo Consciente"))</f>
        <v/>
      </c>
    </row>
    <row r="12">
      <c r="A12" s="14" t="inlineStr">
        <is>
          <t>2. ALINEACIÓN CON CAMPOS FORMATIVOS (ESPECIALIDADES FCA)</t>
        </is>
      </c>
    </row>
    <row r="13">
      <c r="A13" s="6" t="inlineStr">
        <is>
          <t>Campo Formativo</t>
        </is>
      </c>
      <c r="B13" s="6" t="inlineStr">
        <is>
          <t>Dimensiones Clave</t>
        </is>
      </c>
      <c r="C13" s="6" t="inlineStr">
        <is>
          <t>Índice de Afinidad (%)</t>
        </is>
      </c>
      <c r="D13" s="6" t="inlineStr">
        <is>
          <t>Nivel de Compatibilidad</t>
        </is>
      </c>
      <c r="E13" s="6" t="inlineStr">
        <is>
          <t>Recomendación Orientadora</t>
        </is>
      </c>
    </row>
    <row r="14" ht="26" customHeight="1">
      <c r="A14" s="15" t="inlineStr">
        <is>
          <t>Mercadotecnia</t>
        </is>
      </c>
      <c r="B14" s="18" t="inlineStr">
        <is>
          <t>Apertura + Extraversión</t>
        </is>
      </c>
      <c r="C14" s="17">
        <f>(B5+B7)/50</f>
        <v/>
      </c>
      <c r="D14" s="7">
        <f>IF(C14&gt;=0.8, "Alta Afinidad", IF(C14&gt;=0.6, "Afinidad Media", "Desarrollo Requerido"))</f>
        <v/>
      </c>
      <c r="E14" s="8" t="inlineStr">
        <is>
          <t>Creatividad, visión de mercado, dinamismo social y comunicación persuasiva.</t>
        </is>
      </c>
    </row>
    <row r="15" ht="26" customHeight="1">
      <c r="A15" s="15" t="inlineStr">
        <is>
          <t>Capital Humano</t>
        </is>
      </c>
      <c r="B15" s="18" t="inlineStr">
        <is>
          <t>Amabilidad + Extraversión</t>
        </is>
      </c>
      <c r="C15" s="17">
        <f>(B8+B7)/50</f>
        <v/>
      </c>
      <c r="D15" s="7">
        <f>IF(C15&gt;=0.8, "Alta Afinidad", IF(C15&gt;=0.6, "Afinidad Media", "Desarrollo Requerido"))</f>
        <v/>
      </c>
      <c r="E15" s="8" t="inlineStr">
        <is>
          <t>Gestión del talento, empatía organizacional, mediación y liderazgo de equipos.</t>
        </is>
      </c>
    </row>
    <row r="16" ht="26" customHeight="1">
      <c r="A16" s="15" t="inlineStr">
        <is>
          <t>Administración Financiera</t>
        </is>
      </c>
      <c r="B16" s="18" t="inlineStr">
        <is>
          <t>Responsabilidad + Estabilidad Emocional</t>
        </is>
      </c>
      <c r="C16" s="17">
        <f>(B6+B9)/50</f>
        <v/>
      </c>
      <c r="D16" s="7">
        <f>IF(C16&gt;=0.8, "Alta Afinidad", IF(C16&gt;=0.6, "Afinidad Media", "Desarrollo Requerido"))</f>
        <v/>
      </c>
      <c r="E16" s="8" t="inlineStr">
        <is>
          <t>Rigor cuantitativo, control de riesgos, disciplina y toma de decisiones bajo presión.</t>
        </is>
      </c>
    </row>
    <row r="17" ht="26" customHeight="1">
      <c r="A17" s="15" t="inlineStr">
        <is>
          <t>Negocios Internacionales</t>
        </is>
      </c>
      <c r="B17" s="18" t="inlineStr">
        <is>
          <t>Apertura + Estabilidad + Extraversión</t>
        </is>
      </c>
      <c r="C17" s="17">
        <f>(B5+B9+B7)/75</f>
        <v/>
      </c>
      <c r="D17" s="7">
        <f>IF(C17&gt;=0.8, "Alta Afinidad", IF(C17&gt;=0.6, "Afinidad Media", "Desarrollo Requerido"))</f>
        <v/>
      </c>
      <c r="E17" s="8" t="inlineStr">
        <is>
          <t>Inteligencia cultural, adaptabilidad global, resiliencia y capacidad de negociación.</t>
        </is>
      </c>
    </row>
    <row r="18" ht="26" customHeight="1">
      <c r="A18" s="15" t="inlineStr">
        <is>
          <t>Emprendimiento</t>
        </is>
      </c>
      <c r="B18" s="18" t="inlineStr">
        <is>
          <t>Apertura + Responsabilidad + Estabilidad</t>
        </is>
      </c>
      <c r="C18" s="17">
        <f>(B5+B6+B9)/75</f>
        <v/>
      </c>
      <c r="D18" s="7">
        <f>IF(C18&gt;=0.8, "Alta Afinidad", IF(C18&gt;=0.6, "Afinidad Media", "Desarrollo Requerido"))</f>
        <v/>
      </c>
      <c r="E18" s="8" t="inlineStr">
        <is>
          <t>Visión de oportunidad, autodisciplina ejecutiva, resiliencia y tolerancia al riesgo.</t>
        </is>
      </c>
    </row>
  </sheetData>
  <mergeCells count="3">
    <mergeCell ref="A1:E1"/>
    <mergeCell ref="A12:E12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45" customWidth="1" min="4" max="4"/>
  </cols>
  <sheetData>
    <row r="1" ht="28" customHeight="1">
      <c r="A1" s="1" t="inlineStr">
        <is>
          <t>GUÍA ORIENTADORA DE CAMPOS FORMATIVOS Y COMPETENCIAS BIG FIVE</t>
        </is>
      </c>
    </row>
    <row r="3">
      <c r="A3" s="6" t="inlineStr">
        <is>
          <t>Campo Formativo</t>
        </is>
      </c>
      <c r="B3" s="6" t="inlineStr">
        <is>
          <t>Perfil OCEAN Ideal</t>
        </is>
      </c>
      <c r="C3" s="6" t="inlineStr">
        <is>
          <t>Fortalezas Clave de Personalidad</t>
        </is>
      </c>
      <c r="D3" s="6" t="inlineStr">
        <is>
          <t>Estrategias de Desarrollo</t>
        </is>
      </c>
    </row>
    <row r="4" ht="36" customHeight="1">
      <c r="A4" s="15" t="inlineStr">
        <is>
          <t>Mercadotecnia</t>
        </is>
      </c>
      <c r="B4" s="18" t="inlineStr">
        <is>
          <t>Alta Apertura + Alta Extraversión</t>
        </is>
      </c>
      <c r="C4" s="8" t="inlineStr">
        <is>
          <t>Pensamiento innovador, capacidad analítica de tendencias, entusiasmo social y comunicación persuasiva.</t>
        </is>
      </c>
      <c r="D4" s="8" t="inlineStr">
        <is>
          <t>Desarrollar rigor metodológico en la evaluación cuantitativa del ROI y la gestión de presupuestos.</t>
        </is>
      </c>
    </row>
    <row r="5" ht="36" customHeight="1">
      <c r="A5" s="19" t="inlineStr">
        <is>
          <t>Capital Humano</t>
        </is>
      </c>
      <c r="B5" s="20" t="inlineStr">
        <is>
          <t>Alta Amabilidad + Alta Extraversión</t>
        </is>
      </c>
      <c r="C5" s="12" t="inlineStr">
        <is>
          <t>Empatía hacia los colaboradores, capacidad de negociación, mediación de conflictos y liderazgo transformacional.</t>
        </is>
      </c>
      <c r="D5" s="12" t="inlineStr">
        <is>
          <t>Cultivar la objetividad analítica para la toma de decisiones difíciles en evaluación del desempeño y reestructuraciones.</t>
        </is>
      </c>
    </row>
    <row r="6" ht="36" customHeight="1">
      <c r="A6" s="15" t="inlineStr">
        <is>
          <t>Administración Financiera</t>
        </is>
      </c>
      <c r="B6" s="18" t="inlineStr">
        <is>
          <t>Alta Responsabilidad + Alta Estabilidad Emocional</t>
        </is>
      </c>
      <c r="C6" s="8" t="inlineStr">
        <is>
          <t>Meticulosidad en datos, disciplina presupuestaria, serenidad en mercados volátiles y apego a controles.</t>
        </is>
      </c>
      <c r="D6" s="8" t="inlineStr">
        <is>
          <t>Fomentar la flexibilidad ante cambios imprevistos y habilidades socioemocionales para comunicar resultados financieros.</t>
        </is>
      </c>
    </row>
    <row r="7" ht="36" customHeight="1">
      <c r="A7" s="19" t="inlineStr">
        <is>
          <t>Negocios Internacionales</t>
        </is>
      </c>
      <c r="B7" s="20" t="inlineStr">
        <is>
          <t>Alta Apertura + Alta Estabilidad + Extraversión</t>
        </is>
      </c>
      <c r="C7" s="12" t="inlineStr">
        <is>
          <t>Adaptabilidad cultural, visión de mercados globales, tolerancia a la ambigüedad y diplomacia comercial.</t>
        </is>
      </c>
      <c r="D7" s="12" t="inlineStr">
        <is>
          <t>Reforzar la atención al detalle en normatividad aduanera, contratos y aspectos legales del comercio exterior.</t>
        </is>
      </c>
    </row>
    <row r="8" ht="36" customHeight="1">
      <c r="A8" s="15" t="inlineStr">
        <is>
          <t>Emprendimiento</t>
        </is>
      </c>
      <c r="B8" s="18" t="inlineStr">
        <is>
          <t>Alta Apertura + Alta Responsabilidad + Estabilidad</t>
        </is>
      </c>
      <c r="C8" s="8" t="inlineStr">
        <is>
          <t>Visión de oportunidad, automotivación, resiliencia ante el fracaso y capacidad de ejecución estratégica.</t>
        </is>
      </c>
      <c r="D8" s="8" t="inlineStr">
        <is>
          <t>Aprender a delegar oportunamente y desarrollar empatía en la formación del equipo fundador.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2026-10-13T00:56:03Z</dcterms:created>
  <dcterms:modified xmlns:dcterms="http://purl.org/dc/terms/" xmlns:xsi="http://www.w3.org/2001/XMLSchema-instance" xsi:type="dcterms:W3CDTF">2026-10-13T00:56:03Z</dcterms:modified>
</cp:coreProperties>
</file>