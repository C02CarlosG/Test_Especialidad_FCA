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13_ncr:1_{DA224D5E-B8A0-4FE1-A2A4-1E3D6C27F400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Resumen y Diagnostico" sheetId="1" r:id="rId1"/>
    <sheet name="Test 1 - Habilidades" sheetId="2" r:id="rId2"/>
    <sheet name="Test 2 - Big Five" sheetId="3" r:id="rId3"/>
    <sheet name="Guia de Tutoria y Alinea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F29" i="3" s="1"/>
  <c r="E24" i="3"/>
  <c r="F24" i="3" s="1"/>
  <c r="E9" i="1" s="1"/>
  <c r="E19" i="3"/>
  <c r="F19" i="3" s="1"/>
  <c r="E14" i="3"/>
  <c r="F14" i="3" s="1"/>
  <c r="E10" i="1" s="1"/>
  <c r="E9" i="3"/>
  <c r="F9" i="3" s="1"/>
  <c r="F29" i="2"/>
  <c r="G29" i="2" s="1"/>
  <c r="F24" i="2"/>
  <c r="G24" i="2" s="1"/>
  <c r="F19" i="2"/>
  <c r="G19" i="2" s="1"/>
  <c r="F14" i="2"/>
  <c r="G14" i="2" s="1"/>
  <c r="F9" i="2"/>
  <c r="G9" i="2" s="1"/>
  <c r="B11" i="1"/>
  <c r="C11" i="1" s="1"/>
  <c r="B9" i="1"/>
  <c r="C9" i="1" s="1"/>
  <c r="F9" i="1" s="1"/>
  <c r="G9" i="1" s="1"/>
  <c r="E12" i="1" l="1"/>
  <c r="E8" i="1"/>
  <c r="E11" i="1"/>
  <c r="F11" i="1" s="1"/>
  <c r="G11" i="1" s="1"/>
  <c r="B8" i="1"/>
  <c r="C8" i="1" s="1"/>
  <c r="F8" i="1" s="1"/>
  <c r="B10" i="1"/>
  <c r="C10" i="1" s="1"/>
  <c r="F10" i="1" s="1"/>
  <c r="G10" i="1" s="1"/>
  <c r="B12" i="1"/>
  <c r="C12" i="1" s="1"/>
  <c r="F12" i="1" l="1"/>
  <c r="G12" i="1" s="1"/>
  <c r="A37" i="1"/>
  <c r="C36" i="1"/>
  <c r="F33" i="1"/>
  <c r="G8" i="1"/>
  <c r="F36" i="1"/>
  <c r="A34" i="1"/>
  <c r="C33" i="1"/>
</calcChain>
</file>

<file path=xl/sharedStrings.xml><?xml version="1.0" encoding="utf-8"?>
<sst xmlns="http://schemas.openxmlformats.org/spreadsheetml/2006/main" count="229" uniqueCount="153">
  <si>
    <t>DIAGNÓSTICO INTEGRAL Y ALINEACIÓN VOCACIONAL</t>
  </si>
  <si>
    <t>Licenciatura en Administración - 5º Semestre | Cruce de Habilidades Percibidas y Personalidad Big Five</t>
  </si>
  <si>
    <t>Nombre del Alumno:</t>
  </si>
  <si>
    <t>[Nombre Completo del Estudiante]</t>
  </si>
  <si>
    <t>Matrícula / Grupo:</t>
  </si>
  <si>
    <t>[Matrícula - 5º A]</t>
  </si>
  <si>
    <t>1. MATRIZ DE COMPATIBILIDAD POR CAMPO FORMATIVO (CRUCE DE EVALUACIONES)</t>
  </si>
  <si>
    <t>Campo Formativo (Especialidad)</t>
  </si>
  <si>
    <t>Puntaje Habilidad (0-20)</t>
  </si>
  <si>
    <t>% Habilidad</t>
  </si>
  <si>
    <t>Perfil OCEAN Requerido</t>
  </si>
  <si>
    <t>% Personalidad (Big Five)</t>
  </si>
  <si>
    <t>Índice Global de Compatibilidad</t>
  </si>
  <si>
    <t>Nivel de Alineación</t>
  </si>
  <si>
    <t>Mercadotecnia (M)</t>
  </si>
  <si>
    <t>Alta Apertura + Alta Extraversión</t>
  </si>
  <si>
    <t>Capital Humano (CH)</t>
  </si>
  <si>
    <t>Alta Amabilidad + Alta Extraversión</t>
  </si>
  <si>
    <t>Administración Financiera (AF)</t>
  </si>
  <si>
    <t>Alta Responsabilidad + Alta Estabilidad</t>
  </si>
  <si>
    <t>Negocios Internacionales (NI)</t>
  </si>
  <si>
    <t>Alta Apertura + Estabilidad + Extraversión</t>
  </si>
  <si>
    <t>Emprendimiento (E)</t>
  </si>
  <si>
    <t>Alta Apertura + Responsabilidad + Estabilidad</t>
  </si>
  <si>
    <t>2. RESULTADO DIAGNÓSTICO Y SELECCIÓN AUTOMÁTICA DE ESPECIALIDAD</t>
  </si>
  <si>
    <t>1ª Opción Recomendada (Máxima Afinidad):</t>
  </si>
  <si>
    <t>Índice de Afinidad:</t>
  </si>
  <si>
    <t>2ª Opción Recomendada (Secundaria):</t>
  </si>
  <si>
    <t>3. GUÍA DE INTERPRETACIÓN DETALLADA Y ANÁLISIS DE BRECHAS</t>
  </si>
  <si>
    <t>Requiere alta Apertura (creatividad, innovación) y Extraversión (comunicación persuasiva). Un puntaje elevado indica facultad natural para investigación de mercados, gestión de marca y estrategias digitales.</t>
  </si>
  <si>
    <t>Demanda elevada Amabilidad (empatía, resolución pacífica) y Extraversión (liderazgo). Apto para la gestión del talento, desarrollo organizacional, negociación laboral y clima de trabajo.</t>
  </si>
  <si>
    <t>Se fundamenta en alta Responsabilidad (rigor, meticulosidad) y Estabilidad Emocional (aplomo bajo riesgo). Ideal para presupuestos, evaluación de inversiones y control financiero.</t>
  </si>
  <si>
    <t>Combina Apertura cultural, Estabilidad emocional y Extraversión. Excelente perfil para comercio exterior, logística global, negociación intercultural y expansión internacional.</t>
  </si>
  <si>
    <t>Exige elevada Apertura (visión de oportunidad), Responsabilidad (ejecución) y Estabilidad (resiliencia ante fallas). Adecuado para diseño de modelos de negocio Canvas y pilotaje de startups.</t>
  </si>
  <si>
    <t>ANÁLISIS DE BRECHAS Y ORIENTACIÓN PARA EL ESTUDIANTE:</t>
  </si>
  <si>
    <t>• Alta Personalidad + Baja Habilidad: Indica un 'potencial latente'. El estudiante posee la inclinación natural pero requiere formación técnica en 5º-8º semestre para elevar su autonomía práctica.</t>
  </si>
  <si>
    <t>• Alta Habilidad + Baja Personalidad: Señala un 'desempeño técnico disciplinado'. El alumno ejecuta con precisión pero requerirá autorregulación consciente para evitar el desgaste en esa área.</t>
  </si>
  <si>
    <t>• Nota clave del modelo Big Five: La personalidad no es una limitante rígida, sino una guía de autoconocimiento para desarrollar conscientemente las competencias necesarias para la especialidad deseada.</t>
  </si>
  <si>
    <t>EVALUACIÓN DE HABILIDADES PERCIBIDAS EN ADMINISTRACIÓN (TEST 1)</t>
  </si>
  <si>
    <t>Escala de Autonomía: 0 = Necesito ayuda total | 1 = Con supervisión directa | 2 = Con orientación ocasional | 3 = De forma autónoma | 4 = De forma autónoma y puedo explicarlo a otros</t>
  </si>
  <si>
    <t>No.</t>
  </si>
  <si>
    <t>Campo Formativo / Reactivo de Conducta Observable</t>
  </si>
  <si>
    <t>Autonomía (0-4)</t>
  </si>
  <si>
    <t>Nivel Esperado</t>
  </si>
  <si>
    <t>Especialidad</t>
  </si>
  <si>
    <t>Subtotal Campo</t>
  </si>
  <si>
    <t>Estado Campo</t>
  </si>
  <si>
    <t>Identificar patrones de consumo y necesidades del cliente objetivo</t>
  </si>
  <si>
    <t>Dominio (3-4)</t>
  </si>
  <si>
    <t>Seleccionar canales digitales y tradicionales de comunicación persuasiva</t>
  </si>
  <si>
    <t>Diseñar y adaptar mensajes publicitarios según el público segmento</t>
  </si>
  <si>
    <t>Analizar la competencia y definir propuestas de valor diferenciadoras</t>
  </si>
  <si>
    <t>Evaluar el impacto de campañas comerciales mediante métricas básicas</t>
  </si>
  <si>
    <t>Escuchar de forma empática las inquietudes del personal en un equipo</t>
  </si>
  <si>
    <t>Asignar tareas considerando las fortalezas individuales de los colaboradores</t>
  </si>
  <si>
    <t>Brindar retroalimentación constructiva para mejorar el desempeño</t>
  </si>
  <si>
    <t>Resolver malentendidos y mediaciones grupales de forma pacífica</t>
  </si>
  <si>
    <t>Fomentar un clima de trabajo colaborativo y de respeto mutuo</t>
  </si>
  <si>
    <t>Clasificar ingresos, costos y gastos operativos de una unidad administrativa</t>
  </si>
  <si>
    <t>Realizar cálculos numéricos y porcentuales para presupuestos sencillos</t>
  </si>
  <si>
    <t>Elaborar proyecciones financieras básicas a corto y mediano plazo</t>
  </si>
  <si>
    <t>Evaluar la relación costo-beneficio de una inversión o proyecto</t>
  </si>
  <si>
    <t>Interpretar estados de resultados para la toma de decisiones presupuestales</t>
  </si>
  <si>
    <t>Comunicarse adecuadamente con personas de diferentes contextos culturales</t>
  </si>
  <si>
    <t>Investigar regulaciones aduaneras y trámites de comercio exterior</t>
  </si>
  <si>
    <t>Analizar el impacto de divisas y tendencias del mercado internacional</t>
  </si>
  <si>
    <t>Identificar oportunidades de expansión o alianzas estratégicas globales</t>
  </si>
  <si>
    <t>Adaptar productos o servicios a estándares y normas internacionales</t>
  </si>
  <si>
    <t>Identificar oportunidades de negocio a partir de problemas cotidianos</t>
  </si>
  <si>
    <t>Diseñar prototipos o pruebas piloto para validar ideas innovadoras</t>
  </si>
  <si>
    <t>Establecer planes de acción flexibles que se adapten a la incertidumbre</t>
  </si>
  <si>
    <t>Movilizar recursos iniciales (humanos, financieros y materiales)</t>
  </si>
  <si>
    <t>Reestructurar un proyecto (pivote) ante resultados desfavorables</t>
  </si>
  <si>
    <t>EVALUACIÓN DE PERSONALIDAD BIG FIVE (OCEAN) EN ADMINISTRACIÓN (TEST 2)</t>
  </si>
  <si>
    <t>Escala Likert: 1 = Totalmente en desacuerdo | 2 = En desacuerdo | 3 = Neutral | 4 = De acuerdo | 5 = Totalmente de acuerdo</t>
  </si>
  <si>
    <t>Dimensión OCEAN / Afirmación Conductual</t>
  </si>
  <si>
    <t>Puntaje (1-5)</t>
  </si>
  <si>
    <t>Dimensión OCEAN</t>
  </si>
  <si>
    <t>Puntaje Bruto (5-25)</t>
  </si>
  <si>
    <t>% Desarrollo</t>
  </si>
  <si>
    <t>Me fascina explorar nuevas ideas, enfoques creativos y tendencias innovadoras</t>
  </si>
  <si>
    <t>Apertura a la Experiencia (O)</t>
  </si>
  <si>
    <t>Disfruto resolver problemas complejos aprendiendo conceptos completamente nuevos</t>
  </si>
  <si>
    <t>Me adapto fácilmente cuando cambian los planes o el entorno de trabajo</t>
  </si>
  <si>
    <t>Tengo gran curiosidad por comprender la cultura y visión de otras personas</t>
  </si>
  <si>
    <t>Suelo proponer soluciones fuera de lo convencional frente a desafíos</t>
  </si>
  <si>
    <t>Soy meticuloso y cuidadoso al organizar mi tiempo y mis tareas académicas/laborales</t>
  </si>
  <si>
    <t>Responsabilidad (C)</t>
  </si>
  <si>
    <t>Me aseguro de cumplir mis compromisos con alto nivel de precisión y rigor</t>
  </si>
  <si>
    <t>Prefiero seguir planes detallados y estructurados antes de actuar impetuosamente</t>
  </si>
  <si>
    <t>Mantengo el enfoque en metas a largo plazo a pesar de las distracciones</t>
  </si>
  <si>
    <t>Verifico dos veces la información numérica o documental antes de entregarla</t>
  </si>
  <si>
    <t>Me resulta fácil iniciar conversaciones y expresar mis puntos de vista en grupo</t>
  </si>
  <si>
    <t>Extraversión (E)</t>
  </si>
  <si>
    <t>Disfruto liderar proyectos y motivar a otros hacia el logro de objetivos comunes</t>
  </si>
  <si>
    <t>Me siento lleno de energía cuando trabajo en entornos sociales y dinámicos</t>
  </si>
  <si>
    <t>Tengo facilidad para persuadir y comunicar ideas de forma entusiasta</t>
  </si>
  <si>
    <t>Busco activamente participar en eventos, redes de contacto y trabajo colaborativo</t>
  </si>
  <si>
    <t>Demuestro empatía y comprensión sincera frente a los problemas de los demás</t>
  </si>
  <si>
    <t>Amabilidad (A)</t>
  </si>
  <si>
    <t>Prefiero colaborar y buscar consensos antes que competir de manera agresiva</t>
  </si>
  <si>
    <t>Me esfuerzo por mantener relaciones armoniosas y de confianza en el equipo</t>
  </si>
  <si>
    <t>Escucho activamente las opiniones de otros aun cuando difieran de la mía</t>
  </si>
  <si>
    <t>Disfruto apoyar el desarrollo personal y profesional de mis compañeros</t>
  </si>
  <si>
    <t>Mantengo la calma y la claridad mental durante situaciones de alta presión o estrés</t>
  </si>
  <si>
    <t>Estabilidad Emocional (N)</t>
  </si>
  <si>
    <t>Manejo la frustración de forma serena y busco soluciones sin perder el control</t>
  </si>
  <si>
    <t>Tomo decisiones racionales evaluando riesgos en lugar de actuar por impulso emocional</t>
  </si>
  <si>
    <t>Recupero rápidamente la confianza frente a imprevistos o resultados negativos</t>
  </si>
  <si>
    <t>Transmito tranquilidad y seguridad a mi entorno de trabajo en momentos difíciles</t>
  </si>
  <si>
    <t>GUÍA DE TUTORÍA Y ALINEACIÓN CON MODELOS COMPLEMENTARIOS</t>
  </si>
  <si>
    <t>Herramienta para el Acompañamiento Académico y Entrevista de Orientación Vocacional (5º Semestre)</t>
  </si>
  <si>
    <t>Campo Formativo</t>
  </si>
  <si>
    <t>Perfil Big Five (OCEAN)</t>
  </si>
  <si>
    <t>Perfil DISC Equivalente</t>
  </si>
  <si>
    <t>Código Holland (RIASEC)</t>
  </si>
  <si>
    <t>Dominancia Cerebral (HBDI)</t>
  </si>
  <si>
    <t>Estrategia de Desarrollo Sugerida</t>
  </si>
  <si>
    <t>Mercadotecnia</t>
  </si>
  <si>
    <t>Apertura + Extraversión</t>
  </si>
  <si>
    <t>I (Influencia) / D (Dominancia)</t>
  </si>
  <si>
    <t>A (Artístico) / E (Emprendedor)</t>
  </si>
  <si>
    <t>Amarillo (Creativo / Holístico)</t>
  </si>
  <si>
    <t>Fortalecer análisis cuantitativo de datos de mercado y métricas ROI.</t>
  </si>
  <si>
    <t>Capital Humano</t>
  </si>
  <si>
    <t>Amabilidad + Extraversión</t>
  </si>
  <si>
    <t>S (Estable) / I (Influencia)</t>
  </si>
  <si>
    <t>S (Social) / E (Emprendedor)</t>
  </si>
  <si>
    <t>Rojo (Interpersonal / Emocional)</t>
  </si>
  <si>
    <t>Desarrollar objetividad analítica para toma de decisiones sobre personal.</t>
  </si>
  <si>
    <t>Adm. Financiera</t>
  </si>
  <si>
    <t>Responsabilidad + Estabilidad</t>
  </si>
  <si>
    <t>C (Conciencia) / D (Dominancia)</t>
  </si>
  <si>
    <t>C (Convencional) / I (Investigador)</t>
  </si>
  <si>
    <t>Azul (Analítico / Lógico)</t>
  </si>
  <si>
    <t>Aumentar flexibilidad cognitiva y habilidades de comunicación ejecutiva.</t>
  </si>
  <si>
    <t>Negocios Int.</t>
  </si>
  <si>
    <t>Apertura + Estabilidad + Extraversión</t>
  </si>
  <si>
    <t>D (Dominancia) / I (Influencia)</t>
  </si>
  <si>
    <t>E (Emprendedor) / C (Convencional)</t>
  </si>
  <si>
    <t>Azul / Amarillo (Analítico-Creativo)</t>
  </si>
  <si>
    <t>Profundizar en idiomas y conocimientos de normatividad aduanera global.</t>
  </si>
  <si>
    <t>Emprendimiento</t>
  </si>
  <si>
    <t>Apertura + Responsabilidad + Estabilidad</t>
  </si>
  <si>
    <t>D (Dominancia) / S (Estable)</t>
  </si>
  <si>
    <t>E (Emprendedor) / A (Artístico)</t>
  </si>
  <si>
    <t>Cuadrantes Integrados (Whole Brain)</t>
  </si>
  <si>
    <t>Fomentar redes de trabajo (networking) y metodologías ágiles (Lean Startup).</t>
  </si>
  <si>
    <t>PREGUNTAS DETONADORAS PARA LA ENTREVISTA TUTORIAL:</t>
  </si>
  <si>
    <t>1. ¿Los resultados reflejados en la 1ª opción coinciden con tus expectativas personales y metas profesionales?</t>
  </si>
  <si>
    <t>2. En el campo formativo donde obtuviste mayor puntaje de personalidad pero menor de habilidad, ¿qué asignaturas de 6º a 8º semestre te ayudarán a cerrar esa brecha?</t>
  </si>
  <si>
    <t>3. ¿De qué manera tus fortalezas de personalidad (ej. alta responsabilidad o extraversión) te han ayudado a superar proyectos complejos en semestres anteriores?</t>
  </si>
  <si>
    <t>4. Si tu 1ª opción requiere habilidades cuantitativas o de negociación que actualmente consideras un desafío, ¿qué plan de acción práctico establecerás este semestre?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</si>
</sst>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i/>
      <sz val="9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3" borderId="2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/>
    <xf numFmtId="164" fontId="5" fillId="6" borderId="2" xfId="0" applyNumberFormat="1" applyFont="1" applyFill="1" applyBorder="1"/>
    <xf numFmtId="0" fontId="5" fillId="4" borderId="2" xfId="0" applyFont="1" applyFill="1" applyBorder="1"/>
    <xf numFmtId="164" fontId="5" fillId="4" borderId="2" xfId="0" applyNumberFormat="1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6" fillId="5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COMPARATIVA POR CAMPO: HABILIDAD vs PERSONALIDAD vs ÍNDICE GLOBAL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'Resumen y Diagnostico'!$C$7</c:f>
              <c:strCache>
                <c:ptCount val="1"/>
                <c:pt idx="0">
                  <c:v>% Habilidad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y Diagnostico'!$A$8:$A$12</c:f>
              <c:strCache>
                <c:ptCount val="5"/>
                <c:pt idx="0">
                  <c:v>Mercadotecnia (M)</c:v>
                </c:pt>
                <c:pt idx="1">
                  <c:v>Capital Humano (CH)</c:v>
                </c:pt>
                <c:pt idx="2">
                  <c:v>Administración Financiera (AF)</c:v>
                </c:pt>
                <c:pt idx="3">
                  <c:v>Negocios Internacionales (NI)</c:v>
                </c:pt>
                <c:pt idx="4">
                  <c:v>Emprendimiento (E)</c:v>
                </c:pt>
              </c:strCache>
            </c:strRef>
          </c:cat>
          <c:val>
            <c:numRef>
              <c:f>'Resumen y Diagnostico'!$C$8:$C$12</c:f>
              <c:numCache>
                <c:formatCode>0.0%</c:formatCode>
                <c:ptCount val="5"/>
                <c:pt idx="0">
                  <c:v>0.8</c:v>
                </c:pt>
                <c:pt idx="1">
                  <c:v>0.85</c:v>
                </c:pt>
                <c:pt idx="2">
                  <c:v>0.65</c:v>
                </c:pt>
                <c:pt idx="3">
                  <c:v>0.65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A-4A66-843F-A0B2C6577AB7}"/>
            </c:ext>
          </c:extLst>
        </c:ser>
        <c:ser>
          <c:idx val="1"/>
          <c:order val="1"/>
          <c:tx>
            <c:strRef>
              <c:f>'Resumen y Diagnostico'!$E$7</c:f>
              <c:strCache>
                <c:ptCount val="1"/>
                <c:pt idx="0">
                  <c:v>% Personalidad (Big Five)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y Diagnostico'!$A$8:$A$12</c:f>
              <c:strCache>
                <c:ptCount val="5"/>
                <c:pt idx="0">
                  <c:v>Mercadotecnia (M)</c:v>
                </c:pt>
                <c:pt idx="1">
                  <c:v>Capital Humano (CH)</c:v>
                </c:pt>
                <c:pt idx="2">
                  <c:v>Administración Financiera (AF)</c:v>
                </c:pt>
                <c:pt idx="3">
                  <c:v>Negocios Internacionales (NI)</c:v>
                </c:pt>
                <c:pt idx="4">
                  <c:v>Emprendimiento (E)</c:v>
                </c:pt>
              </c:strCache>
            </c:strRef>
          </c:cat>
          <c:val>
            <c:numRef>
              <c:f>'Resumen y Diagnostico'!$E$8:$E$12</c:f>
              <c:numCache>
                <c:formatCode>0.0%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0.74</c:v>
                </c:pt>
                <c:pt idx="3">
                  <c:v>0.77600000000000002</c:v>
                </c:pt>
                <c:pt idx="4">
                  <c:v>0.76400000000000001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A-4A66-843F-A0B2C6577AB7}"/>
            </c:ext>
          </c:extLst>
        </c:ser>
        <c:ser>
          <c:idx val="2"/>
          <c:order val="2"/>
          <c:tx>
            <c:strRef>
              <c:f>'Resumen y Diagnostico'!$F$7</c:f>
              <c:strCache>
                <c:ptCount val="1"/>
                <c:pt idx="0">
                  <c:v>Índice Global de Compatibilidad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'Resumen y Diagnostico'!$A$8:$A$12</c:f>
              <c:strCache>
                <c:ptCount val="5"/>
                <c:pt idx="0">
                  <c:v>Mercadotecnia (M)</c:v>
                </c:pt>
                <c:pt idx="1">
                  <c:v>Capital Humano (CH)</c:v>
                </c:pt>
                <c:pt idx="2">
                  <c:v>Administración Financiera (AF)</c:v>
                </c:pt>
                <c:pt idx="3">
                  <c:v>Negocios Internacionales (NI)</c:v>
                </c:pt>
                <c:pt idx="4">
                  <c:v>Emprendimiento (E)</c:v>
                </c:pt>
              </c:strCache>
            </c:strRef>
          </c:cat>
          <c:val>
            <c:numRef>
              <c:f>'Resumen y Diagnostico'!$F$8:$F$12</c:f>
              <c:numCache>
                <c:formatCode>0.0%</c:formatCode>
                <c:ptCount val="5"/>
                <c:pt idx="0">
                  <c:v>0.8</c:v>
                </c:pt>
                <c:pt idx="1">
                  <c:v>0.82499999999999996</c:v>
                </c:pt>
                <c:pt idx="2">
                  <c:v>0.69500000000000006</c:v>
                </c:pt>
                <c:pt idx="3">
                  <c:v>0.71300000000000008</c:v>
                </c:pt>
                <c:pt idx="4">
                  <c:v>0.78200000000000003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A-4A66-843F-A0B2C657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Campos Formativos de Administración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Porcentaje de Alineación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800725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38" workbookViewId="0">
      <selection activeCell="B43" sqref="B43:G43"/>
    </sheetView>
  </sheetViews>
  <sheetFormatPr baseColWidth="10" defaultColWidth="9.140625" defaultRowHeight="15" x14ac:dyDescent="0.25"/>
  <cols>
    <col min="1" max="1" width="32" customWidth="1"/>
    <col min="2" max="2" width="24" customWidth="1"/>
    <col min="3" max="3" width="16" customWidth="1"/>
    <col min="4" max="4" width="42" customWidth="1"/>
    <col min="5" max="5" width="24" customWidth="1"/>
    <col min="6" max="6" width="28" customWidth="1"/>
    <col min="7" max="7" width="25" customWidth="1"/>
  </cols>
  <sheetData>
    <row r="1" spans="1:7" ht="21" x14ac:dyDescent="0.3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4" t="s">
        <v>3</v>
      </c>
      <c r="E4" s="3" t="s">
        <v>4</v>
      </c>
      <c r="F4" s="4" t="s">
        <v>5</v>
      </c>
    </row>
    <row r="6" spans="1:7" ht="15.75" x14ac:dyDescent="0.25">
      <c r="A6" s="19" t="s">
        <v>6</v>
      </c>
      <c r="B6" s="18"/>
      <c r="C6" s="18"/>
      <c r="D6" s="18"/>
      <c r="E6" s="18"/>
      <c r="F6" s="18"/>
      <c r="G6" s="18"/>
    </row>
    <row r="7" spans="1:7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</row>
    <row r="8" spans="1:7" x14ac:dyDescent="0.25">
      <c r="A8" s="6" t="s">
        <v>14</v>
      </c>
      <c r="B8" s="7">
        <f>'Test 1 - Habilidades'!F9</f>
        <v>16</v>
      </c>
      <c r="C8" s="8">
        <f>B8/20</f>
        <v>0.8</v>
      </c>
      <c r="D8" s="6" t="s">
        <v>15</v>
      </c>
      <c r="E8" s="8">
        <f>'Test 2 - Big Five'!F9*0.5 + 'Test 2 - Big Five'!F19*0.5</f>
        <v>0.8</v>
      </c>
      <c r="F8" s="9">
        <f>C8*0.5 + E8*0.5</f>
        <v>0.8</v>
      </c>
      <c r="G8" s="10" t="str">
        <f>IF(F8&gt;=0.8,"Alta Compatibilidad",IF(F8&gt;=0.65,"Compatibilidad Media","Baja Compatibilidad"))</f>
        <v>Alta Compatibilidad</v>
      </c>
    </row>
    <row r="9" spans="1:7" x14ac:dyDescent="0.25">
      <c r="A9" s="6" t="s">
        <v>16</v>
      </c>
      <c r="B9" s="7">
        <f>'Test 1 - Habilidades'!F14</f>
        <v>17</v>
      </c>
      <c r="C9" s="8">
        <f>B9/20</f>
        <v>0.85</v>
      </c>
      <c r="D9" s="6" t="s">
        <v>17</v>
      </c>
      <c r="E9" s="8">
        <f>'Test 2 - Big Five'!F24*0.5 + 'Test 2 - Big Five'!F19*0.5</f>
        <v>0.8</v>
      </c>
      <c r="F9" s="9">
        <f>C9*0.5 + E9*0.5</f>
        <v>0.82499999999999996</v>
      </c>
      <c r="G9" s="10" t="str">
        <f>IF(F9&gt;=0.8,"Alta Compatibilidad",IF(F9&gt;=0.65,"Compatibilidad Media","Baja Compatibilidad"))</f>
        <v>Alta Compatibilidad</v>
      </c>
    </row>
    <row r="10" spans="1:7" x14ac:dyDescent="0.25">
      <c r="A10" s="6" t="s">
        <v>18</v>
      </c>
      <c r="B10" s="7">
        <f>'Test 1 - Habilidades'!F19</f>
        <v>13</v>
      </c>
      <c r="C10" s="8">
        <f>B10/20</f>
        <v>0.65</v>
      </c>
      <c r="D10" s="6" t="s">
        <v>19</v>
      </c>
      <c r="E10" s="8">
        <f>'Test 2 - Big Five'!F14*0.5 + 'Test 2 - Big Five'!F29*0.5</f>
        <v>0.74</v>
      </c>
      <c r="F10" s="9">
        <f>C10*0.5 + E10*0.5</f>
        <v>0.69500000000000006</v>
      </c>
      <c r="G10" s="10" t="str">
        <f>IF(F10&gt;=0.8,"Alta Compatibilidad",IF(F10&gt;=0.65,"Compatibilidad Media","Baja Compatibilidad"))</f>
        <v>Compatibilidad Media</v>
      </c>
    </row>
    <row r="11" spans="1:7" x14ac:dyDescent="0.25">
      <c r="A11" s="6" t="s">
        <v>20</v>
      </c>
      <c r="B11" s="7">
        <f>'Test 1 - Habilidades'!F24</f>
        <v>13</v>
      </c>
      <c r="C11" s="8">
        <f>B11/20</f>
        <v>0.65</v>
      </c>
      <c r="D11" s="6" t="s">
        <v>21</v>
      </c>
      <c r="E11" s="8">
        <f>'Test 2 - Big Five'!F9*0.4 + 'Test 2 - Big Five'!F29*0.3 + 'Test 2 - Big Five'!F19*0.3</f>
        <v>0.77600000000000002</v>
      </c>
      <c r="F11" s="9">
        <f>C11*0.5 + E11*0.5</f>
        <v>0.71300000000000008</v>
      </c>
      <c r="G11" s="10" t="str">
        <f>IF(F11&gt;=0.8,"Alta Compatibilidad",IF(F11&gt;=0.65,"Compatibilidad Media","Baja Compatibilidad"))</f>
        <v>Compatibilidad Media</v>
      </c>
    </row>
    <row r="12" spans="1:7" x14ac:dyDescent="0.25">
      <c r="A12" s="6" t="s">
        <v>22</v>
      </c>
      <c r="B12" s="7">
        <f>'Test 1 - Habilidades'!F29</f>
        <v>16</v>
      </c>
      <c r="C12" s="8">
        <f>B12/20</f>
        <v>0.8</v>
      </c>
      <c r="D12" s="6" t="s">
        <v>23</v>
      </c>
      <c r="E12" s="8">
        <f>'Test 2 - Big Five'!F9*0.4 + 'Test 2 - Big Five'!F14*0.3 + 'Test 2 - Big Five'!F29*0.3</f>
        <v>0.76400000000000001</v>
      </c>
      <c r="F12" s="9">
        <f>C12*0.5 + E12*0.5</f>
        <v>0.78200000000000003</v>
      </c>
      <c r="G12" s="10" t="str">
        <f>IF(F12&gt;=0.8,"Alta Compatibilidad",IF(F12&gt;=0.65,"Compatibilidad Media","Baja Compatibilidad"))</f>
        <v>Compatibilidad Media</v>
      </c>
    </row>
    <row r="31" spans="1:7" ht="15.75" x14ac:dyDescent="0.25">
      <c r="A31" s="19" t="s">
        <v>24</v>
      </c>
      <c r="B31" s="18"/>
      <c r="C31" s="18"/>
      <c r="D31" s="18"/>
      <c r="E31" s="18"/>
      <c r="F31" s="18"/>
      <c r="G31" s="18"/>
    </row>
    <row r="33" spans="1:7" x14ac:dyDescent="0.25">
      <c r="A33" s="3" t="s">
        <v>25</v>
      </c>
      <c r="C33" s="11" t="str">
        <f>INDEX(A8:A12, MATCH(MAX(F8:F12), F8:F12, 0))</f>
        <v>Capital Humano (CH)</v>
      </c>
      <c r="E33" s="3" t="s">
        <v>26</v>
      </c>
      <c r="F33" s="12">
        <f>MAX(F8:F12)</f>
        <v>0.82499999999999996</v>
      </c>
    </row>
    <row r="34" spans="1:7" x14ac:dyDescent="0.25">
      <c r="A34" s="17" t="str">
        <f>"INTERPRETACIÓN AUTOMÁTICA: El alumno presenta su mayor nivel de compatibilidad en " &amp; INDEX(A8:A12, MATCH(MAX(F8:F12), F8:F12, 0)) &amp; " con un " &amp; TEXT(MAX(F8:F12),"0.0%") &amp; " de alineación global. Este campo representa la combinación óptima entre su dominio técnico/autonomía percibida y sus rasgos naturales de personalidad."</f>
        <v>INTERPRETACIÓN AUTOMÁTICA: El alumno presenta su mayor nivel de compatibilidad en Capital Humano (CH) con un 82.5% de alineación global. Este campo representa la combinación óptima entre su dominio técnico/autonomía percibida y sus rasgos naturales de personalidad.</v>
      </c>
      <c r="B34" s="18"/>
      <c r="C34" s="18"/>
      <c r="D34" s="18"/>
      <c r="E34" s="18"/>
      <c r="F34" s="18"/>
      <c r="G34" s="18"/>
    </row>
    <row r="36" spans="1:7" x14ac:dyDescent="0.25">
      <c r="A36" s="3" t="s">
        <v>27</v>
      </c>
      <c r="C36" s="13" t="str">
        <f>INDEX(A8:A12, MATCH(LARGE(F8:F12, 2), F8:F12, 0))</f>
        <v>Mercadotecnia (M)</v>
      </c>
      <c r="E36" s="3" t="s">
        <v>26</v>
      </c>
      <c r="F36" s="14">
        <f>LARGE(F8:F12, 2)</f>
        <v>0.8</v>
      </c>
    </row>
    <row r="37" spans="1:7" x14ac:dyDescent="0.25">
      <c r="A37" s="17" t="str">
        <f>"INTERPRETACIÓN AUTOMÁTICA: La especialidad de respaldo recomendada es " &amp; INDEX(A8:A12, MATCH(LARGE(F8:F12, 2), F8:F12, 0)) &amp; " (" &amp; TEXT(LARGE(F8:F12, 2),"0.0%") &amp; "). Constituye una excelente opción de diversificación profesional alineada con sus competencias secundarias."</f>
        <v>INTERPRETACIÓN AUTOMÁTICA: La especialidad de respaldo recomendada es Mercadotecnia (M) (80.0%). Constituye una excelente opción de diversificación profesional alineada con sus competencias secundarias.</v>
      </c>
      <c r="B37" s="18"/>
      <c r="C37" s="18"/>
      <c r="D37" s="18"/>
      <c r="E37" s="18"/>
      <c r="F37" s="18"/>
      <c r="G37" s="18"/>
    </row>
    <row r="40" spans="1:7" ht="15.75" x14ac:dyDescent="0.25">
      <c r="A40" s="19" t="s">
        <v>28</v>
      </c>
      <c r="B40" s="18"/>
      <c r="C40" s="18"/>
      <c r="D40" s="18"/>
      <c r="E40" s="18"/>
      <c r="F40" s="18"/>
      <c r="G40" s="18"/>
    </row>
    <row r="41" spans="1:7" x14ac:dyDescent="0.25">
      <c r="A41" s="3" t="s">
        <v>14</v>
      </c>
      <c r="B41" s="17" t="s">
        <v>29</v>
      </c>
      <c r="C41" s="18"/>
      <c r="D41" s="18"/>
      <c r="E41" s="18"/>
      <c r="F41" s="18"/>
      <c r="G41" s="18"/>
    </row>
    <row r="42" spans="1:7" x14ac:dyDescent="0.25">
      <c r="A42" s="3" t="s">
        <v>16</v>
      </c>
      <c r="B42" s="17" t="s">
        <v>30</v>
      </c>
      <c r="C42" s="18"/>
      <c r="D42" s="18"/>
      <c r="E42" s="18"/>
      <c r="F42" s="18"/>
      <c r="G42" s="18"/>
    </row>
    <row r="43" spans="1:7" x14ac:dyDescent="0.25">
      <c r="A43" s="3" t="s">
        <v>18</v>
      </c>
      <c r="B43" s="17" t="s">
        <v>31</v>
      </c>
      <c r="C43" s="18"/>
      <c r="D43" s="18"/>
      <c r="E43" s="18"/>
      <c r="F43" s="18"/>
      <c r="G43" s="18"/>
    </row>
    <row r="44" spans="1:7" x14ac:dyDescent="0.25">
      <c r="A44" s="3" t="s">
        <v>20</v>
      </c>
      <c r="B44" s="17" t="s">
        <v>32</v>
      </c>
      <c r="C44" s="18"/>
      <c r="D44" s="18"/>
      <c r="E44" s="18"/>
      <c r="F44" s="18"/>
      <c r="G44" s="18"/>
    </row>
    <row r="45" spans="1:7" x14ac:dyDescent="0.25">
      <c r="A45" s="3" t="s">
        <v>22</v>
      </c>
      <c r="B45" s="17" t="s">
        <v>33</v>
      </c>
      <c r="C45" s="18"/>
      <c r="D45" s="18"/>
      <c r="E45" s="18"/>
      <c r="F45" s="18"/>
      <c r="G45" s="18"/>
    </row>
    <row r="47" spans="1:7" x14ac:dyDescent="0.25">
      <c r="A47" s="21" t="s">
        <v>34</v>
      </c>
      <c r="B47" s="18"/>
      <c r="C47" s="18"/>
      <c r="D47" s="18"/>
      <c r="E47" s="18"/>
      <c r="F47" s="18"/>
      <c r="G47" s="18"/>
    </row>
    <row r="48" spans="1:7" x14ac:dyDescent="0.25">
      <c r="A48" s="20" t="s">
        <v>35</v>
      </c>
      <c r="B48" s="18"/>
      <c r="C48" s="18"/>
      <c r="D48" s="18"/>
      <c r="E48" s="18"/>
      <c r="F48" s="18"/>
      <c r="G48" s="18"/>
    </row>
    <row r="49" spans="1:7" x14ac:dyDescent="0.25">
      <c r="A49" s="20" t="s">
        <v>36</v>
      </c>
      <c r="B49" s="18"/>
      <c r="C49" s="18"/>
      <c r="D49" s="18"/>
      <c r="E49" s="18"/>
      <c r="F49" s="18"/>
      <c r="G49" s="18"/>
    </row>
    <row r="50" spans="1:7" x14ac:dyDescent="0.25">
      <c r="A50" s="20" t="s">
        <v>37</v>
      </c>
      <c r="B50" s="18"/>
      <c r="C50" s="18"/>
      <c r="D50" s="18"/>
      <c r="E50" s="18"/>
      <c r="F50" s="18"/>
      <c r="G50" s="18"/>
    </row>
  </sheetData>
  <mergeCells count="14">
    <mergeCell ref="A50:G50"/>
    <mergeCell ref="A48:G48"/>
    <mergeCell ref="B43:G43"/>
    <mergeCell ref="B44:G44"/>
    <mergeCell ref="A49:G49"/>
    <mergeCell ref="A47:G47"/>
    <mergeCell ref="B42:G42"/>
    <mergeCell ref="A40:G40"/>
    <mergeCell ref="A31:G31"/>
    <mergeCell ref="A6:G6"/>
    <mergeCell ref="B45:G45"/>
    <mergeCell ref="A34:G34"/>
    <mergeCell ref="B41:G41"/>
    <mergeCell ref="A37:G3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baseColWidth="10" defaultColWidth="9.140625" defaultRowHeight="15" x14ac:dyDescent="0.25"/>
  <cols>
    <col min="1" max="1" width="14" customWidth="1"/>
    <col min="2" max="2" width="70" customWidth="1"/>
    <col min="3" max="3" width="19" customWidth="1"/>
    <col min="4" max="4" width="18" customWidth="1"/>
    <col min="5" max="5" width="34" customWidth="1"/>
    <col min="6" max="6" width="18" customWidth="1"/>
    <col min="7" max="7" width="16" customWidth="1"/>
  </cols>
  <sheetData>
    <row r="1" spans="1:7" ht="21" x14ac:dyDescent="0.35">
      <c r="A1" s="1" t="s">
        <v>38</v>
      </c>
    </row>
    <row r="2" spans="1:7" x14ac:dyDescent="0.25">
      <c r="A2" s="2" t="s">
        <v>39</v>
      </c>
    </row>
    <row r="4" spans="1:7" x14ac:dyDescent="0.25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</row>
    <row r="5" spans="1:7" x14ac:dyDescent="0.25">
      <c r="A5" s="7">
        <v>1</v>
      </c>
      <c r="B5" s="6" t="s">
        <v>47</v>
      </c>
      <c r="C5" s="15">
        <v>3</v>
      </c>
      <c r="D5" s="7" t="s">
        <v>48</v>
      </c>
      <c r="E5" s="6" t="s">
        <v>14</v>
      </c>
      <c r="F5" s="16"/>
      <c r="G5" s="16"/>
    </row>
    <row r="6" spans="1:7" x14ac:dyDescent="0.25">
      <c r="A6" s="7">
        <v>2</v>
      </c>
      <c r="B6" s="6" t="s">
        <v>49</v>
      </c>
      <c r="C6" s="15">
        <v>4</v>
      </c>
      <c r="D6" s="7" t="s">
        <v>48</v>
      </c>
      <c r="E6" s="6" t="s">
        <v>14</v>
      </c>
      <c r="F6" s="16"/>
      <c r="G6" s="16"/>
    </row>
    <row r="7" spans="1:7" x14ac:dyDescent="0.25">
      <c r="A7" s="7">
        <v>3</v>
      </c>
      <c r="B7" s="6" t="s">
        <v>50</v>
      </c>
      <c r="C7" s="15">
        <v>3</v>
      </c>
      <c r="D7" s="7" t="s">
        <v>48</v>
      </c>
      <c r="E7" s="6" t="s">
        <v>14</v>
      </c>
      <c r="F7" s="16"/>
      <c r="G7" s="16"/>
    </row>
    <row r="8" spans="1:7" x14ac:dyDescent="0.25">
      <c r="A8" s="7">
        <v>4</v>
      </c>
      <c r="B8" s="6" t="s">
        <v>51</v>
      </c>
      <c r="C8" s="15">
        <v>3</v>
      </c>
      <c r="D8" s="7" t="s">
        <v>48</v>
      </c>
      <c r="E8" s="6" t="s">
        <v>14</v>
      </c>
      <c r="F8" s="16"/>
      <c r="G8" s="16"/>
    </row>
    <row r="9" spans="1:7" x14ac:dyDescent="0.25">
      <c r="A9" s="7">
        <v>5</v>
      </c>
      <c r="B9" s="6" t="s">
        <v>52</v>
      </c>
      <c r="C9" s="15">
        <v>3</v>
      </c>
      <c r="D9" s="7" t="s">
        <v>48</v>
      </c>
      <c r="E9" s="6" t="s">
        <v>14</v>
      </c>
      <c r="F9" s="10">
        <f>SUM(C5:C9)</f>
        <v>16</v>
      </c>
      <c r="G9" s="10" t="str">
        <f>IF(F9&gt;=16,"Alto (16-20)",IF(F9&gt;=11,"Medio (11-15)","Bajo (0-10)"))</f>
        <v>Alto (16-20)</v>
      </c>
    </row>
    <row r="10" spans="1:7" x14ac:dyDescent="0.25">
      <c r="A10" s="7">
        <v>6</v>
      </c>
      <c r="B10" s="6" t="s">
        <v>53</v>
      </c>
      <c r="C10" s="15">
        <v>4</v>
      </c>
      <c r="D10" s="7" t="s">
        <v>48</v>
      </c>
      <c r="E10" s="6" t="s">
        <v>16</v>
      </c>
      <c r="F10" s="16"/>
      <c r="G10" s="16"/>
    </row>
    <row r="11" spans="1:7" x14ac:dyDescent="0.25">
      <c r="A11" s="7">
        <v>7</v>
      </c>
      <c r="B11" s="6" t="s">
        <v>54</v>
      </c>
      <c r="C11" s="15">
        <v>3</v>
      </c>
      <c r="D11" s="7" t="s">
        <v>48</v>
      </c>
      <c r="E11" s="6" t="s">
        <v>16</v>
      </c>
      <c r="F11" s="16"/>
      <c r="G11" s="16"/>
    </row>
    <row r="12" spans="1:7" x14ac:dyDescent="0.25">
      <c r="A12" s="7">
        <v>8</v>
      </c>
      <c r="B12" s="6" t="s">
        <v>55</v>
      </c>
      <c r="C12" s="15">
        <v>3</v>
      </c>
      <c r="D12" s="7" t="s">
        <v>48</v>
      </c>
      <c r="E12" s="6" t="s">
        <v>16</v>
      </c>
      <c r="F12" s="16"/>
      <c r="G12" s="16"/>
    </row>
    <row r="13" spans="1:7" x14ac:dyDescent="0.25">
      <c r="A13" s="7">
        <v>9</v>
      </c>
      <c r="B13" s="6" t="s">
        <v>56</v>
      </c>
      <c r="C13" s="15">
        <v>3</v>
      </c>
      <c r="D13" s="7" t="s">
        <v>48</v>
      </c>
      <c r="E13" s="6" t="s">
        <v>16</v>
      </c>
      <c r="F13" s="16"/>
      <c r="G13" s="16"/>
    </row>
    <row r="14" spans="1:7" x14ac:dyDescent="0.25">
      <c r="A14" s="7">
        <v>10</v>
      </c>
      <c r="B14" s="6" t="s">
        <v>57</v>
      </c>
      <c r="C14" s="15">
        <v>4</v>
      </c>
      <c r="D14" s="7" t="s">
        <v>48</v>
      </c>
      <c r="E14" s="6" t="s">
        <v>16</v>
      </c>
      <c r="F14" s="10">
        <f>SUM(C10:C14)</f>
        <v>17</v>
      </c>
      <c r="G14" s="10" t="str">
        <f>IF(F14&gt;=16,"Alto (16-20)",IF(F14&gt;=11,"Medio (11-15)","Bajo (0-10)"))</f>
        <v>Alto (16-20)</v>
      </c>
    </row>
    <row r="15" spans="1:7" x14ac:dyDescent="0.25">
      <c r="A15" s="7">
        <v>11</v>
      </c>
      <c r="B15" s="6" t="s">
        <v>58</v>
      </c>
      <c r="C15" s="15">
        <v>3</v>
      </c>
      <c r="D15" s="7" t="s">
        <v>48</v>
      </c>
      <c r="E15" s="6" t="s">
        <v>18</v>
      </c>
      <c r="F15" s="16"/>
      <c r="G15" s="16"/>
    </row>
    <row r="16" spans="1:7" x14ac:dyDescent="0.25">
      <c r="A16" s="7">
        <v>12</v>
      </c>
      <c r="B16" s="6" t="s">
        <v>59</v>
      </c>
      <c r="C16" s="15">
        <v>3</v>
      </c>
      <c r="D16" s="7" t="s">
        <v>48</v>
      </c>
      <c r="E16" s="6" t="s">
        <v>18</v>
      </c>
      <c r="F16" s="16"/>
      <c r="G16" s="16"/>
    </row>
    <row r="17" spans="1:7" x14ac:dyDescent="0.25">
      <c r="A17" s="7">
        <v>13</v>
      </c>
      <c r="B17" s="6" t="s">
        <v>60</v>
      </c>
      <c r="C17" s="15">
        <v>2</v>
      </c>
      <c r="D17" s="7" t="s">
        <v>48</v>
      </c>
      <c r="E17" s="6" t="s">
        <v>18</v>
      </c>
      <c r="F17" s="16"/>
      <c r="G17" s="16"/>
    </row>
    <row r="18" spans="1:7" x14ac:dyDescent="0.25">
      <c r="A18" s="7">
        <v>14</v>
      </c>
      <c r="B18" s="6" t="s">
        <v>61</v>
      </c>
      <c r="C18" s="15">
        <v>3</v>
      </c>
      <c r="D18" s="7" t="s">
        <v>48</v>
      </c>
      <c r="E18" s="6" t="s">
        <v>18</v>
      </c>
      <c r="F18" s="16"/>
      <c r="G18" s="16"/>
    </row>
    <row r="19" spans="1:7" x14ac:dyDescent="0.25">
      <c r="A19" s="7">
        <v>15</v>
      </c>
      <c r="B19" s="6" t="s">
        <v>62</v>
      </c>
      <c r="C19" s="15">
        <v>2</v>
      </c>
      <c r="D19" s="7" t="s">
        <v>48</v>
      </c>
      <c r="E19" s="6" t="s">
        <v>18</v>
      </c>
      <c r="F19" s="10">
        <f>SUM(C15:C19)</f>
        <v>13</v>
      </c>
      <c r="G19" s="10" t="str">
        <f>IF(F19&gt;=16,"Alto (16-20)",IF(F19&gt;=11,"Medio (11-15)","Bajo (0-10)"))</f>
        <v>Medio (11-15)</v>
      </c>
    </row>
    <row r="20" spans="1:7" ht="30" x14ac:dyDescent="0.25">
      <c r="A20" s="7">
        <v>16</v>
      </c>
      <c r="B20" s="6" t="s">
        <v>63</v>
      </c>
      <c r="C20" s="15">
        <v>3</v>
      </c>
      <c r="D20" s="7" t="s">
        <v>48</v>
      </c>
      <c r="E20" s="6" t="s">
        <v>20</v>
      </c>
      <c r="F20" s="16"/>
      <c r="G20" s="16"/>
    </row>
    <row r="21" spans="1:7" x14ac:dyDescent="0.25">
      <c r="A21" s="7">
        <v>17</v>
      </c>
      <c r="B21" s="6" t="s">
        <v>64</v>
      </c>
      <c r="C21" s="15">
        <v>2</v>
      </c>
      <c r="D21" s="7" t="s">
        <v>48</v>
      </c>
      <c r="E21" s="6" t="s">
        <v>20</v>
      </c>
      <c r="F21" s="16"/>
      <c r="G21" s="16"/>
    </row>
    <row r="22" spans="1:7" x14ac:dyDescent="0.25">
      <c r="A22" s="7">
        <v>18</v>
      </c>
      <c r="B22" s="6" t="s">
        <v>65</v>
      </c>
      <c r="C22" s="15">
        <v>3</v>
      </c>
      <c r="D22" s="7" t="s">
        <v>48</v>
      </c>
      <c r="E22" s="6" t="s">
        <v>20</v>
      </c>
      <c r="F22" s="16"/>
      <c r="G22" s="16"/>
    </row>
    <row r="23" spans="1:7" x14ac:dyDescent="0.25">
      <c r="A23" s="7">
        <v>19</v>
      </c>
      <c r="B23" s="6" t="s">
        <v>66</v>
      </c>
      <c r="C23" s="15">
        <v>3</v>
      </c>
      <c r="D23" s="7" t="s">
        <v>48</v>
      </c>
      <c r="E23" s="6" t="s">
        <v>20</v>
      </c>
      <c r="F23" s="16"/>
      <c r="G23" s="16"/>
    </row>
    <row r="24" spans="1:7" x14ac:dyDescent="0.25">
      <c r="A24" s="7">
        <v>20</v>
      </c>
      <c r="B24" s="6" t="s">
        <v>67</v>
      </c>
      <c r="C24" s="15">
        <v>2</v>
      </c>
      <c r="D24" s="7" t="s">
        <v>48</v>
      </c>
      <c r="E24" s="6" t="s">
        <v>20</v>
      </c>
      <c r="F24" s="10">
        <f>SUM(C20:C24)</f>
        <v>13</v>
      </c>
      <c r="G24" s="10" t="str">
        <f>IF(F24&gt;=16,"Alto (16-20)",IF(F24&gt;=11,"Medio (11-15)","Bajo (0-10)"))</f>
        <v>Medio (11-15)</v>
      </c>
    </row>
    <row r="25" spans="1:7" x14ac:dyDescent="0.25">
      <c r="A25" s="7">
        <v>21</v>
      </c>
      <c r="B25" s="6" t="s">
        <v>68</v>
      </c>
      <c r="C25" s="15">
        <v>4</v>
      </c>
      <c r="D25" s="7" t="s">
        <v>48</v>
      </c>
      <c r="E25" s="6" t="s">
        <v>22</v>
      </c>
      <c r="F25" s="16"/>
      <c r="G25" s="16"/>
    </row>
    <row r="26" spans="1:7" x14ac:dyDescent="0.25">
      <c r="A26" s="7">
        <v>22</v>
      </c>
      <c r="B26" s="6" t="s">
        <v>69</v>
      </c>
      <c r="C26" s="15">
        <v>3</v>
      </c>
      <c r="D26" s="7" t="s">
        <v>48</v>
      </c>
      <c r="E26" s="6" t="s">
        <v>22</v>
      </c>
      <c r="F26" s="16"/>
      <c r="G26" s="16"/>
    </row>
    <row r="27" spans="1:7" x14ac:dyDescent="0.25">
      <c r="A27" s="7">
        <v>23</v>
      </c>
      <c r="B27" s="6" t="s">
        <v>70</v>
      </c>
      <c r="C27" s="15">
        <v>3</v>
      </c>
      <c r="D27" s="7" t="s">
        <v>48</v>
      </c>
      <c r="E27" s="6" t="s">
        <v>22</v>
      </c>
      <c r="F27" s="16"/>
      <c r="G27" s="16"/>
    </row>
    <row r="28" spans="1:7" x14ac:dyDescent="0.25">
      <c r="A28" s="7">
        <v>24</v>
      </c>
      <c r="B28" s="6" t="s">
        <v>71</v>
      </c>
      <c r="C28" s="15">
        <v>3</v>
      </c>
      <c r="D28" s="7" t="s">
        <v>48</v>
      </c>
      <c r="E28" s="6" t="s">
        <v>22</v>
      </c>
      <c r="F28" s="16"/>
      <c r="G28" s="16"/>
    </row>
    <row r="29" spans="1:7" x14ac:dyDescent="0.25">
      <c r="A29" s="7">
        <v>25</v>
      </c>
      <c r="B29" s="6" t="s">
        <v>72</v>
      </c>
      <c r="C29" s="15">
        <v>3</v>
      </c>
      <c r="D29" s="7" t="s">
        <v>48</v>
      </c>
      <c r="E29" s="6" t="s">
        <v>22</v>
      </c>
      <c r="F29" s="10">
        <f>SUM(C25:C29)</f>
        <v>16</v>
      </c>
      <c r="G29" s="10" t="str">
        <f>IF(F29&gt;=16,"Alto (16-20)",IF(F29&gt;=11,"Medio (11-15)","Bajo (0-10)"))</f>
        <v>Alto (16-20)</v>
      </c>
    </row>
  </sheetData>
  <dataValidations count="1">
    <dataValidation type="whole" sqref="C5 C6 C7 C8 C9 C10 C11 C12 C13 C14 C15 C16 C17 C18 C19 C20 C21 C22 C23 C24 C25 C26 C27 C28 C29" xr:uid="{00000000-0002-0000-0100-000000000000}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baseColWidth="10" defaultColWidth="9.140625" defaultRowHeight="15" x14ac:dyDescent="0.25"/>
  <cols>
    <col min="1" max="1" width="14" customWidth="1"/>
    <col min="2" max="2" width="75" customWidth="1"/>
    <col min="3" max="3" width="17" customWidth="1"/>
    <col min="4" max="4" width="33" customWidth="1"/>
    <col min="5" max="5" width="24" customWidth="1"/>
    <col min="6" max="6" width="16" customWidth="1"/>
  </cols>
  <sheetData>
    <row r="1" spans="1:6" ht="21" x14ac:dyDescent="0.35">
      <c r="A1" s="1" t="s">
        <v>73</v>
      </c>
    </row>
    <row r="2" spans="1:6" x14ac:dyDescent="0.25">
      <c r="A2" s="2" t="s">
        <v>74</v>
      </c>
    </row>
    <row r="4" spans="1:6" x14ac:dyDescent="0.25">
      <c r="A4" s="5" t="s">
        <v>40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79</v>
      </c>
    </row>
    <row r="5" spans="1:6" x14ac:dyDescent="0.25">
      <c r="A5" s="7">
        <v>1</v>
      </c>
      <c r="B5" s="6" t="s">
        <v>80</v>
      </c>
      <c r="C5" s="15">
        <v>4</v>
      </c>
      <c r="D5" s="6" t="s">
        <v>81</v>
      </c>
      <c r="E5" s="16"/>
      <c r="F5" s="16"/>
    </row>
    <row r="6" spans="1:6" ht="30" x14ac:dyDescent="0.25">
      <c r="A6" s="7">
        <v>2</v>
      </c>
      <c r="B6" s="6" t="s">
        <v>82</v>
      </c>
      <c r="C6" s="15">
        <v>4</v>
      </c>
      <c r="D6" s="6" t="s">
        <v>81</v>
      </c>
      <c r="E6" s="16"/>
      <c r="F6" s="16"/>
    </row>
    <row r="7" spans="1:6" x14ac:dyDescent="0.25">
      <c r="A7" s="7">
        <v>3</v>
      </c>
      <c r="B7" s="6" t="s">
        <v>83</v>
      </c>
      <c r="C7" s="15">
        <v>4</v>
      </c>
      <c r="D7" s="6" t="s">
        <v>81</v>
      </c>
      <c r="E7" s="16"/>
      <c r="F7" s="16"/>
    </row>
    <row r="8" spans="1:6" x14ac:dyDescent="0.25">
      <c r="A8" s="7">
        <v>4</v>
      </c>
      <c r="B8" s="6" t="s">
        <v>84</v>
      </c>
      <c r="C8" s="15">
        <v>4</v>
      </c>
      <c r="D8" s="6" t="s">
        <v>81</v>
      </c>
      <c r="E8" s="16"/>
      <c r="F8" s="16"/>
    </row>
    <row r="9" spans="1:6" x14ac:dyDescent="0.25">
      <c r="A9" s="7">
        <v>5</v>
      </c>
      <c r="B9" s="6" t="s">
        <v>85</v>
      </c>
      <c r="C9" s="15">
        <v>4</v>
      </c>
      <c r="D9" s="6" t="s">
        <v>81</v>
      </c>
      <c r="E9" s="10">
        <f>SUM(C5:C9)</f>
        <v>20</v>
      </c>
      <c r="F9" s="9">
        <f>E9/25</f>
        <v>0.8</v>
      </c>
    </row>
    <row r="10" spans="1:6" ht="30" x14ac:dyDescent="0.25">
      <c r="A10" s="7">
        <v>6</v>
      </c>
      <c r="B10" s="6" t="s">
        <v>86</v>
      </c>
      <c r="C10" s="15">
        <v>4</v>
      </c>
      <c r="D10" s="6" t="s">
        <v>87</v>
      </c>
      <c r="E10" s="16"/>
      <c r="F10" s="16"/>
    </row>
    <row r="11" spans="1:6" x14ac:dyDescent="0.25">
      <c r="A11" s="7">
        <v>7</v>
      </c>
      <c r="B11" s="6" t="s">
        <v>88</v>
      </c>
      <c r="C11" s="15">
        <v>4</v>
      </c>
      <c r="D11" s="6" t="s">
        <v>87</v>
      </c>
      <c r="E11" s="16"/>
      <c r="F11" s="16"/>
    </row>
    <row r="12" spans="1:6" ht="30" x14ac:dyDescent="0.25">
      <c r="A12" s="7">
        <v>8</v>
      </c>
      <c r="B12" s="6" t="s">
        <v>89</v>
      </c>
      <c r="C12" s="15">
        <v>3</v>
      </c>
      <c r="D12" s="6" t="s">
        <v>87</v>
      </c>
      <c r="E12" s="16"/>
      <c r="F12" s="16"/>
    </row>
    <row r="13" spans="1:6" x14ac:dyDescent="0.25">
      <c r="A13" s="7">
        <v>9</v>
      </c>
      <c r="B13" s="6" t="s">
        <v>90</v>
      </c>
      <c r="C13" s="15">
        <v>4</v>
      </c>
      <c r="D13" s="6" t="s">
        <v>87</v>
      </c>
      <c r="E13" s="16"/>
      <c r="F13" s="16"/>
    </row>
    <row r="14" spans="1:6" x14ac:dyDescent="0.25">
      <c r="A14" s="7">
        <v>10</v>
      </c>
      <c r="B14" s="6" t="s">
        <v>91</v>
      </c>
      <c r="C14" s="15">
        <v>4</v>
      </c>
      <c r="D14" s="6" t="s">
        <v>87</v>
      </c>
      <c r="E14" s="10">
        <f>SUM(C10:C14)</f>
        <v>19</v>
      </c>
      <c r="F14" s="9">
        <f>E14/25</f>
        <v>0.76</v>
      </c>
    </row>
    <row r="15" spans="1:6" x14ac:dyDescent="0.25">
      <c r="A15" s="7">
        <v>11</v>
      </c>
      <c r="B15" s="6" t="s">
        <v>92</v>
      </c>
      <c r="C15" s="15">
        <v>4</v>
      </c>
      <c r="D15" s="6" t="s">
        <v>93</v>
      </c>
      <c r="E15" s="16"/>
      <c r="F15" s="16"/>
    </row>
    <row r="16" spans="1:6" x14ac:dyDescent="0.25">
      <c r="A16" s="7">
        <v>12</v>
      </c>
      <c r="B16" s="6" t="s">
        <v>94</v>
      </c>
      <c r="C16" s="15">
        <v>4</v>
      </c>
      <c r="D16" s="6" t="s">
        <v>93</v>
      </c>
      <c r="E16" s="16"/>
      <c r="F16" s="16"/>
    </row>
    <row r="17" spans="1:6" x14ac:dyDescent="0.25">
      <c r="A17" s="7">
        <v>13</v>
      </c>
      <c r="B17" s="6" t="s">
        <v>95</v>
      </c>
      <c r="C17" s="15">
        <v>4</v>
      </c>
      <c r="D17" s="6" t="s">
        <v>93</v>
      </c>
      <c r="E17" s="16"/>
      <c r="F17" s="16"/>
    </row>
    <row r="18" spans="1:6" x14ac:dyDescent="0.25">
      <c r="A18" s="7">
        <v>14</v>
      </c>
      <c r="B18" s="6" t="s">
        <v>96</v>
      </c>
      <c r="C18" s="15">
        <v>4</v>
      </c>
      <c r="D18" s="6" t="s">
        <v>93</v>
      </c>
      <c r="E18" s="16"/>
      <c r="F18" s="16"/>
    </row>
    <row r="19" spans="1:6" x14ac:dyDescent="0.25">
      <c r="A19" s="7">
        <v>15</v>
      </c>
      <c r="B19" s="6" t="s">
        <v>97</v>
      </c>
      <c r="C19" s="15">
        <v>4</v>
      </c>
      <c r="D19" s="6" t="s">
        <v>93</v>
      </c>
      <c r="E19" s="10">
        <f>SUM(C15:C19)</f>
        <v>20</v>
      </c>
      <c r="F19" s="9">
        <f>E19/25</f>
        <v>0.8</v>
      </c>
    </row>
    <row r="20" spans="1:6" x14ac:dyDescent="0.25">
      <c r="A20" s="7">
        <v>16</v>
      </c>
      <c r="B20" s="6" t="s">
        <v>98</v>
      </c>
      <c r="C20" s="15">
        <v>4</v>
      </c>
      <c r="D20" s="6" t="s">
        <v>99</v>
      </c>
      <c r="E20" s="16"/>
      <c r="F20" s="16"/>
    </row>
    <row r="21" spans="1:6" x14ac:dyDescent="0.25">
      <c r="A21" s="7">
        <v>17</v>
      </c>
      <c r="B21" s="6" t="s">
        <v>100</v>
      </c>
      <c r="C21" s="15">
        <v>4</v>
      </c>
      <c r="D21" s="6" t="s">
        <v>99</v>
      </c>
      <c r="E21" s="16"/>
      <c r="F21" s="16"/>
    </row>
    <row r="22" spans="1:6" x14ac:dyDescent="0.25">
      <c r="A22" s="7">
        <v>18</v>
      </c>
      <c r="B22" s="6" t="s">
        <v>101</v>
      </c>
      <c r="C22" s="15">
        <v>4</v>
      </c>
      <c r="D22" s="6" t="s">
        <v>99</v>
      </c>
      <c r="E22" s="16"/>
      <c r="F22" s="16"/>
    </row>
    <row r="23" spans="1:6" x14ac:dyDescent="0.25">
      <c r="A23" s="7">
        <v>19</v>
      </c>
      <c r="B23" s="6" t="s">
        <v>102</v>
      </c>
      <c r="C23" s="15">
        <v>4</v>
      </c>
      <c r="D23" s="6" t="s">
        <v>99</v>
      </c>
      <c r="E23" s="16"/>
      <c r="F23" s="16"/>
    </row>
    <row r="24" spans="1:6" x14ac:dyDescent="0.25">
      <c r="A24" s="7">
        <v>20</v>
      </c>
      <c r="B24" s="6" t="s">
        <v>103</v>
      </c>
      <c r="C24" s="15">
        <v>4</v>
      </c>
      <c r="D24" s="6" t="s">
        <v>99</v>
      </c>
      <c r="E24" s="10">
        <f>SUM(C20:C24)</f>
        <v>20</v>
      </c>
      <c r="F24" s="9">
        <f>E24/25</f>
        <v>0.8</v>
      </c>
    </row>
    <row r="25" spans="1:6" ht="30" x14ac:dyDescent="0.25">
      <c r="A25" s="7">
        <v>21</v>
      </c>
      <c r="B25" s="6" t="s">
        <v>104</v>
      </c>
      <c r="C25" s="15">
        <v>3</v>
      </c>
      <c r="D25" s="6" t="s">
        <v>105</v>
      </c>
      <c r="E25" s="16"/>
      <c r="F25" s="16"/>
    </row>
    <row r="26" spans="1:6" x14ac:dyDescent="0.25">
      <c r="A26" s="7">
        <v>22</v>
      </c>
      <c r="B26" s="6" t="s">
        <v>106</v>
      </c>
      <c r="C26" s="15">
        <v>4</v>
      </c>
      <c r="D26" s="6" t="s">
        <v>105</v>
      </c>
      <c r="E26" s="16"/>
      <c r="F26" s="16"/>
    </row>
    <row r="27" spans="1:6" ht="30" x14ac:dyDescent="0.25">
      <c r="A27" s="7">
        <v>23</v>
      </c>
      <c r="B27" s="6" t="s">
        <v>107</v>
      </c>
      <c r="C27" s="15">
        <v>4</v>
      </c>
      <c r="D27" s="6" t="s">
        <v>105</v>
      </c>
      <c r="E27" s="16"/>
      <c r="F27" s="16"/>
    </row>
    <row r="28" spans="1:6" x14ac:dyDescent="0.25">
      <c r="A28" s="7">
        <v>24</v>
      </c>
      <c r="B28" s="6" t="s">
        <v>108</v>
      </c>
      <c r="C28" s="15">
        <v>3</v>
      </c>
      <c r="D28" s="6" t="s">
        <v>105</v>
      </c>
      <c r="E28" s="16"/>
      <c r="F28" s="16"/>
    </row>
    <row r="29" spans="1:6" x14ac:dyDescent="0.25">
      <c r="A29" s="7">
        <v>25</v>
      </c>
      <c r="B29" s="6" t="s">
        <v>109</v>
      </c>
      <c r="C29" s="15">
        <v>4</v>
      </c>
      <c r="D29" s="6" t="s">
        <v>105</v>
      </c>
      <c r="E29" s="10">
        <f>SUM(C25:C29)</f>
        <v>18</v>
      </c>
      <c r="F29" s="9">
        <f>E29/25</f>
        <v>0.72</v>
      </c>
    </row>
  </sheetData>
  <dataValidations count="1">
    <dataValidation type="whole" sqref="C5 C6 C7 C8 C9 C10 C11 C12 C13 C14 C15 C16 C17 C18 C19 C20 C21 C22 C23 C24 C25 C26 C27 C28 C29" xr:uid="{00000000-0002-0000-0200-000000000000}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/>
  </sheetViews>
  <sheetFormatPr baseColWidth="10" defaultColWidth="9.140625" defaultRowHeight="15" x14ac:dyDescent="0.25"/>
  <cols>
    <col min="1" max="1" width="54" customWidth="1"/>
    <col min="2" max="2" width="44" customWidth="1"/>
    <col min="3" max="3" width="35" customWidth="1"/>
    <col min="4" max="4" width="39" customWidth="1"/>
    <col min="5" max="5" width="40" customWidth="1"/>
    <col min="6" max="6" width="80" customWidth="1"/>
  </cols>
  <sheetData>
    <row r="1" spans="1:6" ht="21" x14ac:dyDescent="0.35">
      <c r="A1" s="1" t="s">
        <v>110</v>
      </c>
    </row>
    <row r="2" spans="1:6" x14ac:dyDescent="0.25">
      <c r="A2" s="2" t="s">
        <v>111</v>
      </c>
    </row>
    <row r="4" spans="1:6" x14ac:dyDescent="0.25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</row>
    <row r="5" spans="1:6" x14ac:dyDescent="0.25">
      <c r="A5" s="6" t="s">
        <v>118</v>
      </c>
      <c r="B5" s="7" t="s">
        <v>119</v>
      </c>
      <c r="C5" s="7" t="s">
        <v>120</v>
      </c>
      <c r="D5" s="7" t="s">
        <v>121</v>
      </c>
      <c r="E5" s="7" t="s">
        <v>122</v>
      </c>
      <c r="F5" s="6" t="s">
        <v>123</v>
      </c>
    </row>
    <row r="6" spans="1:6" x14ac:dyDescent="0.25">
      <c r="A6" s="6" t="s">
        <v>124</v>
      </c>
      <c r="B6" s="7" t="s">
        <v>125</v>
      </c>
      <c r="C6" s="7" t="s">
        <v>126</v>
      </c>
      <c r="D6" s="7" t="s">
        <v>127</v>
      </c>
      <c r="E6" s="7" t="s">
        <v>128</v>
      </c>
      <c r="F6" s="6" t="s">
        <v>129</v>
      </c>
    </row>
    <row r="7" spans="1:6" x14ac:dyDescent="0.25">
      <c r="A7" s="6" t="s">
        <v>130</v>
      </c>
      <c r="B7" s="7" t="s">
        <v>131</v>
      </c>
      <c r="C7" s="7" t="s">
        <v>132</v>
      </c>
      <c r="D7" s="7" t="s">
        <v>133</v>
      </c>
      <c r="E7" s="7" t="s">
        <v>134</v>
      </c>
      <c r="F7" s="6" t="s">
        <v>135</v>
      </c>
    </row>
    <row r="8" spans="1:6" x14ac:dyDescent="0.25">
      <c r="A8" s="6" t="s">
        <v>136</v>
      </c>
      <c r="B8" s="7" t="s">
        <v>137</v>
      </c>
      <c r="C8" s="7" t="s">
        <v>138</v>
      </c>
      <c r="D8" s="7" t="s">
        <v>139</v>
      </c>
      <c r="E8" s="7" t="s">
        <v>140</v>
      </c>
      <c r="F8" s="6" t="s">
        <v>141</v>
      </c>
    </row>
    <row r="9" spans="1:6" x14ac:dyDescent="0.25">
      <c r="A9" s="6" t="s">
        <v>142</v>
      </c>
      <c r="B9" s="7" t="s">
        <v>143</v>
      </c>
      <c r="C9" s="7" t="s">
        <v>144</v>
      </c>
      <c r="D9" s="7" t="s">
        <v>145</v>
      </c>
      <c r="E9" s="7" t="s">
        <v>146</v>
      </c>
      <c r="F9" s="6" t="s">
        <v>147</v>
      </c>
    </row>
    <row r="12" spans="1:6" x14ac:dyDescent="0.25">
      <c r="A12" s="3" t="s">
        <v>148</v>
      </c>
    </row>
    <row r="13" spans="1:6" x14ac:dyDescent="0.25">
      <c r="A13" s="17" t="s">
        <v>149</v>
      </c>
      <c r="B13" s="18"/>
      <c r="C13" s="18"/>
      <c r="D13" s="18"/>
      <c r="E13" s="18"/>
      <c r="F13" s="18"/>
    </row>
    <row r="14" spans="1:6" x14ac:dyDescent="0.25">
      <c r="A14" s="17" t="s">
        <v>150</v>
      </c>
      <c r="B14" s="18"/>
      <c r="C14" s="18"/>
      <c r="D14" s="18"/>
      <c r="E14" s="18"/>
      <c r="F14" s="18"/>
    </row>
    <row r="15" spans="1:6" x14ac:dyDescent="0.25">
      <c r="A15" s="17" t="s">
        <v>151</v>
      </c>
      <c r="B15" s="18"/>
      <c r="C15" s="18"/>
      <c r="D15" s="18"/>
      <c r="E15" s="18"/>
      <c r="F15" s="18"/>
    </row>
    <row r="16" spans="1:6" x14ac:dyDescent="0.25">
      <c r="A16" s="17" t="s">
        <v>152</v>
      </c>
      <c r="B16" s="18"/>
      <c r="C16" s="18"/>
      <c r="D16" s="18"/>
      <c r="E16" s="18"/>
      <c r="F16" s="18"/>
    </row>
  </sheetData>
  <mergeCells count="4">
    <mergeCell ref="A13:F13"/>
    <mergeCell ref="A14:F14"/>
    <mergeCell ref="A16:F1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y Diagnostico</vt:lpstr>
      <vt:lpstr>Test 1 - Habilidades</vt:lpstr>
      <vt:lpstr>Test 2 - Big Five</vt:lpstr>
      <vt:lpstr>Guia de Tutoria y Alineacion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	 Orozco Blas FDCS</cp:lastModifiedBy>
  <dcterms:created xsi:type="dcterms:W3CDTF">2026-10-15T02:26:04Z</dcterms:created>
  <dcterms:modified xsi:type="dcterms:W3CDTF">2026-10-15T02:28:14Z</dcterms:modified>
</cp:coreProperties>
</file>